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4f2c5c0e5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73c43f51c749a0"/>
    <x:sheet xmlns:r="http://schemas.openxmlformats.org/officeDocument/2006/relationships" name="1.基因前" sheetId="2" r:id="R9d16116f28434d78"/>
    <x:sheet xmlns:r="http://schemas.openxmlformats.org/officeDocument/2006/relationships" name="2.基因后" sheetId="3" r:id="R78318b088f8b4564"/>
    <x:sheet xmlns:r="http://schemas.openxmlformats.org/officeDocument/2006/relationships" name="3.临床上下文" sheetId="4" r:id="Receb7ef1d949477c"/>
    <x:sheet xmlns:r="http://schemas.openxmlformats.org/officeDocument/2006/relationships" name="4.Panel请求" sheetId="5" r:id="R39e26ac1efd34f09"/>
    <x:sheet xmlns:r="http://schemas.openxmlformats.org/officeDocument/2006/relationships" name="5.Agent结果" sheetId="6" r:id="Re541b896fd9b4486"/>
    <x:sheet xmlns:r="http://schemas.openxmlformats.org/officeDocument/2006/relationships" name="6.证据明细" sheetId="7" r:id="R710f8405f0754e74"/>
    <x:sheet xmlns:r="http://schemas.openxmlformats.org/officeDocument/2006/relationships" name="7.QC审计" sheetId="8" r:id="R90a492d851054f34"/>
    <x:sheet xmlns:r="http://schemas.openxmlformats.org/officeDocument/2006/relationships" name="8.服务器运行" sheetId="9" r:id="Rf1351cb8c56f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0F766E"/>
      </x:patternFill>
    </x:fill>
    <x:fill>
      <x:patternFill patternType="solid">
        <x:fgColor rgb="FFE8F0F7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DF3F0"/>
        </x:patternFill>
      </x:fill>
    </x:dxf>
    <x:dxf>
      <x:font>
        <x:b/>
        <x:color rgb="FF065F46"/>
      </x:font>
      <x:fill>
        <x:patternFill patternType="solid">
          <x:bgColor rgb="FFDDF3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ddf73c9134a04" /><Relationship Type="http://schemas.openxmlformats.org/officeDocument/2006/relationships/theme" Target="/xl/theme/theme1.xml" Id="R6aa9462d7dba4b70" /><Relationship Type="http://schemas.openxmlformats.org/officeDocument/2006/relationships/sharedStrings" Target="/xl/sharedStrings.xml" Id="R8bed6ca63cd34590" /><Relationship Type="http://schemas.openxmlformats.org/officeDocument/2006/relationships/worksheet" Target="/xl/worksheets/sheet1.xml" Id="R5573c43f51c749a0" /><Relationship Type="http://schemas.openxmlformats.org/officeDocument/2006/relationships/worksheet" Target="/xl/worksheets/sheet2.xml" Id="R9d16116f28434d78" /><Relationship Type="http://schemas.openxmlformats.org/officeDocument/2006/relationships/worksheet" Target="/xl/worksheets/sheet3.xml" Id="R78318b088f8b4564" /><Relationship Type="http://schemas.openxmlformats.org/officeDocument/2006/relationships/worksheet" Target="/xl/worksheets/sheet4.xml" Id="Receb7ef1d949477c" /><Relationship Type="http://schemas.openxmlformats.org/officeDocument/2006/relationships/worksheet" Target="/xl/worksheets/sheet5.xml" Id="R39e26ac1efd34f09" /><Relationship Type="http://schemas.openxmlformats.org/officeDocument/2006/relationships/worksheet" Target="/xl/worksheets/sheet6.xml" Id="Re541b896fd9b4486" /><Relationship Type="http://schemas.openxmlformats.org/officeDocument/2006/relationships/worksheet" Target="/xl/worksheets/sheet7.xml" Id="R710f8405f0754e74" /><Relationship Type="http://schemas.openxmlformats.org/officeDocument/2006/relationships/worksheet" Target="/xl/worksheets/sheet8.xml" Id="R90a492d851054f34" /><Relationship Type="http://schemas.openxmlformats.org/officeDocument/2006/relationships/worksheet" Target="/xl/worksheets/sheet9.xml" Id="Rf1351cb8c56f41db" /></Relationships>
</file>

<file path=xl/tables/table1.xml><?xml version="1.0" encoding="utf-8"?>
<x:table xmlns:x="http://schemas.openxmlformats.org/spreadsheetml/2006/main" id="1" name="type1FirstLevel" displayName="type1FirstLevel" ref="A1:O11" headerRowCount="1" totalsRowCount="0" totalsRowShown="0">
  <x:tableColumns count="15">
    <x:tableColumn id="1" name="编号"/>
    <x:tableColumn id="2" name="研究病例ID"/>
    <x:tableColumn id="3" name="VWF:Ag"/>
    <x:tableColumn id="4" name="VWF:Act"/>
    <x:tableColumn id="5" name="Act/Ag"/>
    <x:tableColumn id="6" name="FVIII:C"/>
    <x:tableColumn id="7" name="血小板计数"/>
    <x:tableColumn id="8" name="VWF:Ag单位"/>
    <x:tableColumn id="9" name="VWF:Act单位"/>
    <x:tableColumn id="10" name="FVIII:C单位"/>
    <x:tableColumn id="11" name="血小板计数单位"/>
    <x:tableColumn id="12" name="VWF:Ag参考范围"/>
    <x:tableColumn id="13" name="VWF:Act参考范围"/>
    <x:tableColumn id="14" name="FVIII:C参考范围"/>
    <x:tableColumn id="15" name="血小板计数参考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ype1Genetics" displayName="type1Genetics" ref="A1:W11" headerRowCount="1" totalsRowCount="0" totalsRowShown="0">
  <x:tableColumns count="23">
    <x:tableColumn id="1" name="编号"/>
    <x:tableColumn id="2" name="研究病例ID"/>
    <x:tableColumn id="3" name="突变基因"/>
    <x:tableColumn id="4" name="核苷酸改变"/>
    <x:tableColumn id="5" name="氨基酸改变"/>
    <x:tableColumn id="6" name="染色体位置"/>
    <x:tableColumn id="7" name="变异类型"/>
    <x:tableColumn id="8" name="合子状态"/>
    <x:tableColumn id="9" name="报告相位"/>
    <x:tableColumn id="10" name="报告ACMG"/>
    <x:tableColumn id="11" name="归一化基因组版本"/>
    <x:tableColumn id="12" name="hg38染色体"/>
    <x:tableColumn id="13" name="hg38位置"/>
    <x:tableColumn id="14" name="hg38_REF"/>
    <x:tableColumn id="15" name="hg38_ALT"/>
    <x:tableColumn id="16" name="蛋白紧凑表示"/>
    <x:tableColumn id="17" name="AlphaGenome请求状态"/>
    <x:tableColumn id="18" name="Boltz请求状态"/>
    <x:tableColumn id="19" name="坐标QC"/>
    <x:tableColumn id="20" name="归一化来源"/>
    <x:tableColumn id="21" name="原表基因字段"/>
    <x:tableColumn id="22" name="共病"/>
    <x:tableColumn id="23" name="解释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ype1Context" displayName="type1Context" ref="A1:X11" headerRowCount="1" totalsRowCount="0" totalsRowShown="0">
  <x:tableColumns count="24">
    <x:tableColumn id="1" name="研究病例ID"/>
    <x:tableColumn id="2" name="性别"/>
    <x:tableColumn id="3" name="年龄"/>
    <x:tableColumn id="4" name="病程"/>
    <x:tableColumn id="5" name="主要症状"/>
    <x:tableColumn id="6" name="家族史"/>
    <x:tableColumn id="7" name="ISTH-BAT"/>
    <x:tableColumn id="8" name="高浓度瑞斯托霉素血小板聚集"/>
    <x:tableColumn id="9" name="DDAVP_VWF:Ag_输注前"/>
    <x:tableColumn id="10" name="DDAVP_VWF:Ag_0.5h"/>
    <x:tableColumn id="11" name="DDAVP_VWF:Ag_1h"/>
    <x:tableColumn id="12" name="DDAVP_VWF:Ag_4h"/>
    <x:tableColumn id="13" name="DDAVP_VWF:Act_输注前"/>
    <x:tableColumn id="14" name="DDAVP_VWF:Act_0.5h"/>
    <x:tableColumn id="15" name="DDAVP_VWF:Act_1h"/>
    <x:tableColumn id="16" name="DDAVP_VWF:Act_4h"/>
    <x:tableColumn id="17" name="DDAVP_FVIII:C_输注前"/>
    <x:tableColumn id="18" name="DDAVP_FVIII:C_0.5h"/>
    <x:tableColumn id="19" name="DDAVP_FVIII:C_1h"/>
    <x:tableColumn id="20" name="DDAVP_FVIII:C_4h"/>
    <x:tableColumn id="21" name="DDAVP报告反应性"/>
    <x:tableColumn id="22" name="既往治疗"/>
    <x:tableColumn id="23" name="共病"/>
    <x:tableColumn id="24" name="解释限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ype1Requests" displayName="type1Requests" ref="A1:L11" headerRowCount="1" totalsRowCount="0" totalsRowShown="0">
  <x:tableColumns count="12">
    <x:tableColumn id="1" name="研究病例ID"/>
    <x:tableColumn id="2" name="基因"/>
    <x:tableColumn id="3" name="HGVS_c"/>
    <x:tableColumn id="4" name="HGVS_p"/>
    <x:tableColumn id="5" name="AlphaGenome状态"/>
    <x:tableColumn id="6" name="AlphaGenome_GRCh38"/>
    <x:tableColumn id="7" name="Boltz状态"/>
    <x:tableColumn id="8" name="Boltz变异"/>
    <x:tableColumn id="9" name="既有AlphaGenome结果"/>
    <x:tableColumn id="10" name="既有Boltz结果"/>
    <x:tableColumn id="11" name="AlphaGenome原始输出"/>
    <x:tableColumn id="12" name="AlphaGenome细胞选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ype1Agent" displayName="type1Agent" ref="A1:G11" headerRowCount="1" totalsRowCount="0" totalsRowShown="0">
  <x:tableColumns count="7">
    <x:tableColumn id="1" name="研究病例ID"/>
    <x:tableColumn id="2" name="阶段"/>
    <x:tableColumn id="3" name="Agent状态"/>
    <x:tableColumn id="4" name="AlphaGenome证据"/>
    <x:tableColumn id="5" name="Boltz证据"/>
    <x:tableColumn id="6" name="MD证据"/>
    <x:tableColumn id="7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ype1Evidence" displayName="type1Evidence" ref="A1:F2" headerRowCount="1" totalsRowCount="0" totalsRowShown="0">
  <x:tableColumns count="6">
    <x:tableColumn id="1" name="研究病例ID"/>
    <x:tableColumn id="2" name="来源"/>
    <x:tableColumn id="3" name="记录ID"/>
    <x:tableColumn id="4" name="查询"/>
    <x:tableColumn id="5" name="结论"/>
    <x:tableColumn id="6" name="局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ype1Audit" displayName="type1Audit" ref="A1:H11" headerRowCount="1" totalsRowCount="0" totalsRowShown="0">
  <x:tableColumns count="8">
    <x:tableColumn id="1" name="研究病例ID"/>
    <x:tableColumn id="2" name="源行"/>
    <x:tableColumn id="3" name="原始基因"/>
    <x:tableColumn id="4" name="标准基因"/>
    <x:tableColumn id="5" name="原始坐标(hg19/未声明)"/>
    <x:tableColumn id="6" name="HGVS归一化GRCh38"/>
    <x:tableColumn id="7" name="坐标QC"/>
    <x:tableColumn id="8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ype1Server" displayName="type1Server" ref="A1:F5" headerRowCount="1" totalsRowCount="0" totalsRowShown="0">
  <x:tableColumns count="6">
    <x:tableColumn id="1" name="顺序"/>
    <x:tableColumn id="2" name="模块"/>
    <x:tableColumn id="3" name="输入"/>
    <x:tableColumn id="4" name="任务数"/>
    <x:tableColumn id="5" name="命令"/>
    <x:tableColumn id="6" name="验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ff8d7e20b0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e1316f816e46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99ebfb55f446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be00c7280d4e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2e81f5901649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e033f0126746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1837534b6e44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a74fb6c96742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VWF Type-1 10例：Agent + 完整计算面板输入包</x:v>
      </x:c>
      <x:c r="B1" s="3"/>
      <x:c r="C1" s="3"/>
      <x:c r="D1" s="3"/>
      <x:c r="E1" s="3"/>
      <x:c r="F1" s="3"/>
      <x:c r="G1" s="3"/>
      <x:c r="H1" s="3"/>
    </x:row>
    <x:row r="3">
      <x:c r="A3" s="6" t="str">
        <x:v>运行清单</x:v>
      </x:c>
      <x:c r="B3" s="6" t="str">
        <x:v>数量</x:v>
      </x:c>
      <x:c r="D3" s="5" t="str">
        <x:v>关键说明（服务器结果回传前）</x:v>
      </x:c>
      <x:c r="E3" s="5"/>
      <x:c r="F3" s="5"/>
      <x:c r="G3" s="5"/>
      <x:c r="H3" s="5"/>
    </x:row>
    <x:row r="4" ht="38" customHeight="1">
      <x:c r="A4" s="7" t="str">
        <x:v>患者</x:v>
      </x:c>
      <x:c r="B4" s="7" t="n">
        <x:v>10</x:v>
      </x:c>
      <x:c r="D4" s="10" t="str">
        <x:v>1. CASE_T1_004 为大片段缺失/重复，唯一不直接进入单变异 AlphaGenome/Boltz。</x:v>
      </x:c>
      <x:c r="E4" s="10"/>
      <x:c r="F4" s="10"/>
      <x:c r="G4" s="10"/>
      <x:c r="H4" s="10"/>
    </x:row>
    <x:row r="5" ht="38" customHeight="1">
      <x:c r="A5" s="7" t="str">
        <x:v>变异记录</x:v>
      </x:c>
      <x:c r="B5" s="7" t="n">
        <x:v>10</x:v>
      </x:c>
      <x:c r="D5" s="13" t="str">
        <x:v>2. CASE_T1_007 的致病变异按 VWF c.3379+1G&gt;A（GRCh38 chr12:6023630 C&gt;T）运行；血友病A保留为共病，FVIII:C 不用于2N推断。</x:v>
      </x:c>
      <x:c r="E5" s="13"/>
      <x:c r="F5" s="13"/>
      <x:c r="G5" s="13"/>
      <x:c r="H5" s="13"/>
    </x:row>
    <x:row r="6" ht="38" customHeight="1">
      <x:c r="A6" s="7" t="str">
        <x:v>AlphaGenome请求</x:v>
      </x:c>
      <x:c r="B6" s="7" t="n">
        <x:v>9</x:v>
      </x:c>
      <x:c r="D6" s="10" t="str">
        <x:v>3. AlphaGenome 使用11类官方原始输出；逐输出读取 metadata，优先 CL:0000115/内皮-血管-巨核细胞相关轨道，无相关轨道则显式缺失。</x:v>
      </x:c>
      <x:c r="E6" s="10"/>
      <x:c r="F6" s="10"/>
      <x:c r="G6" s="10"/>
      <x:c r="H6" s="10"/>
    </x:row>
    <x:row r="7" ht="38" customHeight="1">
      <x:c r="A7" s="7" t="str">
        <x:v>Boltz任务</x:v>
      </x:c>
      <x:c r="B7" s="7" t="n">
        <x:v>15</x:v>
      </x:c>
      <x:c r="D7" s="13" t="str">
        <x:v>4. Boltz 为8个变异构建 + 7个同构建WT基线；MD仅做P1413L和匹配WT，各50 ns。</x:v>
      </x:c>
      <x:c r="E7" s="13"/>
      <x:c r="F7" s="13"/>
      <x:c r="G7" s="13"/>
      <x:c r="H7" s="13"/>
    </x:row>
    <x:row r="8">
      <x:c r="A8" s="7" t="str">
        <x:v>MD任务</x:v>
      </x:c>
      <x:c r="B8" s="7" t="str">
        <x:v>1 WT + 1 P1413L</x:v>
      </x:c>
    </x:row>
  </x:sheetData>
  <x:mergeCells>
    <x:mergeCell ref="A1:H1"/>
    <x:mergeCell ref="D3:H3"/>
    <x:mergeCell ref="D4:H4"/>
    <x:mergeCell ref="D5:H5"/>
    <x:mergeCell ref="D6:H6"/>
    <x:mergeCell ref="D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9" hidden="0" customWidth="1"/>
    <x:col min="5" max="5" width="17" hidden="0" customWidth="1"/>
    <x:col min="6" max="6" width="19" hidden="0" customWidth="1"/>
    <x:col min="7" max="7" width="15" hidden="0" customWidth="1"/>
    <x:col min="8" max="8" width="21" hidden="0" customWidth="1"/>
    <x:col min="9" max="9" width="23" hidden="0" customWidth="1"/>
    <x:col min="10" max="10" width="23" hidden="0" customWidth="1"/>
    <x:col min="11" max="11" width="19" hidden="0" customWidth="1"/>
    <x:col min="12" max="12" width="45" hidden="0" customWidth="1"/>
    <x:col min="13" max="13" width="45" hidden="0" customWidth="1"/>
    <x:col min="14" max="14" width="27" hidden="0" customWidth="1"/>
    <x:col min="15" max="15" width="23" hidden="0" customWidth="1"/>
  </x:cols>
  <x:sheetData>
    <x:row r="1" ht="38" customHeight="1">
      <x:c r="A1" s="19" t="str">
        <x:v>编号</x:v>
      </x:c>
      <x:c r="B1" s="19" t="str">
        <x:v>研究病例ID</x:v>
      </x:c>
      <x:c r="C1" s="19" t="str">
        <x:v>VWF:Ag</x:v>
      </x:c>
      <x:c r="D1" s="19" t="str">
        <x:v>VWF:Act</x:v>
      </x:c>
      <x:c r="E1" s="19" t="str">
        <x:v>Act/Ag</x:v>
      </x:c>
      <x:c r="F1" s="19" t="str">
        <x:v>FVIII:C</x:v>
      </x:c>
      <x:c r="G1" s="19" t="str">
        <x:v>血小板计数</x:v>
      </x:c>
      <x:c r="H1" s="19" t="str">
        <x:v>VWF:Ag单位</x:v>
      </x:c>
      <x:c r="I1" s="19" t="str">
        <x:v>VWF:Act单位</x:v>
      </x:c>
      <x:c r="J1" s="19" t="str">
        <x:v>FVIII:C单位</x:v>
      </x:c>
      <x:c r="K1" s="19" t="str">
        <x:v>血小板计数单位</x:v>
      </x:c>
      <x:c r="L1" s="19" t="str">
        <x:v>VWF:Ag参考范围</x:v>
      </x:c>
      <x:c r="M1" s="19" t="str">
        <x:v>VWF:Act参考范围</x:v>
      </x:c>
      <x:c r="N1" s="19" t="str">
        <x:v>FVIII:C参考范围</x:v>
      </x:c>
      <x:c r="O1" s="19" t="str">
        <x:v>血小板计数参考范围</x:v>
      </x:c>
    </x:row>
    <x:row r="2">
      <x:c r="A2" s="20" t="n">
        <x:v>1</x:v>
      </x:c>
      <x:c r="B2" s="20" t="str">
        <x:v>CASE_T1_001</x:v>
      </x:c>
      <x:c r="C2" s="24" t="n">
        <x:v>31.4</x:v>
      </x:c>
      <x:c r="D2" s="24" t="n">
        <x:v>19</x:v>
      </x:c>
      <x:c r="E2" s="24" t="n">
        <x:f>IFERROR(D2/C2,"")</x:f>
        <x:v>0.6050955414012739</x:v>
      </x:c>
      <x:c r="F2" s="24" t="n">
        <x:v>72.5</x:v>
      </x:c>
      <x:c r="G2" s="24" t="str">
        <x:v>NA</x:v>
      </x:c>
      <x:c r="H2" s="20" t="str">
        <x:v>%</x:v>
      </x:c>
      <x:c r="I2" s="20" t="str">
        <x:v>%</x:v>
      </x:c>
      <x:c r="J2" s="20" t="str">
        <x:v>%</x:v>
      </x:c>
      <x:c r="K2" s="20" t="str">
        <x:v>10^9/L</x:v>
      </x:c>
      <x:c r="L2" s="22" t="str">
        <x:v>来源表：O型42.0-140.8%；非O型66.1-79.9%（需核对原实验室）</x:v>
      </x:c>
      <x:c r="M2" s="22" t="str">
        <x:v>来源表：O型40.3-125.9%；非O型48.8-163.4%</x:v>
      </x:c>
      <x:c r="N2" s="20" t="str">
        <x:v>50-150%</x:v>
      </x:c>
      <x:c r="O2" s="20" t="str">
        <x:v>未提供</x:v>
      </x:c>
    </x:row>
    <x:row r="3">
      <x:c r="A3" s="20" t="n">
        <x:v>2</x:v>
      </x:c>
      <x:c r="B3" s="20" t="str">
        <x:v>CASE_T1_002</x:v>
      </x:c>
      <x:c r="C3" s="24" t="n">
        <x:v>35.8</x:v>
      </x:c>
      <x:c r="D3" s="24" t="n">
        <x:v>25.4</x:v>
      </x:c>
      <x:c r="E3" s="24" t="n">
        <x:f>IFERROR(D3/C3,"")</x:f>
        <x:v>0.7094972067039106</x:v>
      </x:c>
      <x:c r="F3" s="24" t="n">
        <x:v>52.6</x:v>
      </x:c>
      <x:c r="G3" s="24" t="str">
        <x:v>NA</x:v>
      </x:c>
      <x:c r="H3" s="20" t="str">
        <x:v>%</x:v>
      </x:c>
      <x:c r="I3" s="20" t="str">
        <x:v>%</x:v>
      </x:c>
      <x:c r="J3" s="20" t="str">
        <x:v>%</x:v>
      </x:c>
      <x:c r="K3" s="20" t="str">
        <x:v>10^9/L</x:v>
      </x:c>
      <x:c r="L3" s="22" t="str">
        <x:v>来源表：O型42.0-140.8%；非O型66.1-79.9%（需核对原实验室）</x:v>
      </x:c>
      <x:c r="M3" s="22" t="str">
        <x:v>来源表：O型40.3-125.9%；非O型48.8-163.4%</x:v>
      </x:c>
      <x:c r="N3" s="20" t="str">
        <x:v>50-150%</x:v>
      </x:c>
      <x:c r="O3" s="20" t="str">
        <x:v>未提供</x:v>
      </x:c>
    </x:row>
    <x:row r="4">
      <x:c r="A4" s="20" t="n">
        <x:v>3</x:v>
      </x:c>
      <x:c r="B4" s="20" t="str">
        <x:v>CASE_T1_003</x:v>
      </x:c>
      <x:c r="C4" s="24" t="n">
        <x:v>36.4</x:v>
      </x:c>
      <x:c r="D4" s="24" t="n">
        <x:v>28.5</x:v>
      </x:c>
      <x:c r="E4" s="24" t="n">
        <x:f>IFERROR(D4/C4,"")</x:f>
        <x:v>0.782967032967033</x:v>
      </x:c>
      <x:c r="F4" s="24" t="n">
        <x:v>68.6</x:v>
      </x:c>
      <x:c r="G4" s="24" t="str">
        <x:v>NA</x:v>
      </x:c>
      <x:c r="H4" s="20" t="str">
        <x:v>%</x:v>
      </x:c>
      <x:c r="I4" s="20" t="str">
        <x:v>%</x:v>
      </x:c>
      <x:c r="J4" s="20" t="str">
        <x:v>%</x:v>
      </x:c>
      <x:c r="K4" s="20" t="str">
        <x:v>10^9/L</x:v>
      </x:c>
      <x:c r="L4" s="22" t="str">
        <x:v>来源表：O型42.0-140.8%；非O型66.1-79.9%（需核对原实验室）</x:v>
      </x:c>
      <x:c r="M4" s="22" t="str">
        <x:v>来源表：O型40.3-125.9%；非O型48.8-163.4%</x:v>
      </x:c>
      <x:c r="N4" s="20" t="str">
        <x:v>50-150%</x:v>
      </x:c>
      <x:c r="O4" s="20" t="str">
        <x:v>未提供</x:v>
      </x:c>
    </x:row>
    <x:row r="5">
      <x:c r="A5" s="20" t="n">
        <x:v>4</x:v>
      </x:c>
      <x:c r="B5" s="20" t="str">
        <x:v>CASE_T1_004</x:v>
      </x:c>
      <x:c r="C5" s="24" t="n">
        <x:v>19.2</x:v>
      </x:c>
      <x:c r="D5" s="24" t="n">
        <x:v>3.2</x:v>
      </x:c>
      <x:c r="E5" s="24" t="n">
        <x:f>IFERROR(D5/C5,"")</x:f>
        <x:v>0.16666666666666669</x:v>
      </x:c>
      <x:c r="F5" s="24" t="n">
        <x:v>35.3</x:v>
      </x:c>
      <x:c r="G5" s="24" t="str">
        <x:v>NA</x:v>
      </x:c>
      <x:c r="H5" s="20" t="str">
        <x:v>%</x:v>
      </x:c>
      <x:c r="I5" s="20" t="str">
        <x:v>%</x:v>
      </x:c>
      <x:c r="J5" s="20" t="str">
        <x:v>%</x:v>
      </x:c>
      <x:c r="K5" s="20" t="str">
        <x:v>10^9/L</x:v>
      </x:c>
      <x:c r="L5" s="22" t="str">
        <x:v>来源表：O型42.0-140.8%；非O型66.1-79.9%（需核对原实验室）</x:v>
      </x:c>
      <x:c r="M5" s="22" t="str">
        <x:v>来源表：O型40.3-125.9%；非O型48.8-163.4%</x:v>
      </x:c>
      <x:c r="N5" s="20" t="str">
        <x:v>50-150%</x:v>
      </x:c>
      <x:c r="O5" s="20" t="str">
        <x:v>未提供</x:v>
      </x:c>
    </x:row>
    <x:row r="6">
      <x:c r="A6" s="20" t="n">
        <x:v>5</x:v>
      </x:c>
      <x:c r="B6" s="20" t="str">
        <x:v>CASE_T1_005</x:v>
      </x:c>
      <x:c r="C6" s="24" t="n">
        <x:v>12.2</x:v>
      </x:c>
      <x:c r="D6" s="24" t="n">
        <x:v>9.9</x:v>
      </x:c>
      <x:c r="E6" s="24" t="n">
        <x:f>IFERROR(D6/C6,"")</x:f>
        <x:v>0.8114754098360657</x:v>
      </x:c>
      <x:c r="F6" s="24" t="n">
        <x:v>48.4</x:v>
      </x:c>
      <x:c r="G6" s="24" t="str">
        <x:v>NA</x:v>
      </x:c>
      <x:c r="H6" s="20" t="str">
        <x:v>%</x:v>
      </x:c>
      <x:c r="I6" s="20" t="str">
        <x:v>%</x:v>
      </x:c>
      <x:c r="J6" s="20" t="str">
        <x:v>%</x:v>
      </x:c>
      <x:c r="K6" s="20" t="str">
        <x:v>10^9/L</x:v>
      </x:c>
      <x:c r="L6" s="22" t="str">
        <x:v>来源表：O型42.0-140.8%；非O型66.1-79.9%（需核对原实验室）</x:v>
      </x:c>
      <x:c r="M6" s="22" t="str">
        <x:v>来源表：O型40.3-125.9%；非O型48.8-163.4%</x:v>
      </x:c>
      <x:c r="N6" s="20" t="str">
        <x:v>50-150%</x:v>
      </x:c>
      <x:c r="O6" s="20" t="str">
        <x:v>未提供</x:v>
      </x:c>
    </x:row>
    <x:row r="7">
      <x:c r="A7" s="20" t="n">
        <x:v>6</x:v>
      </x:c>
      <x:c r="B7" s="20" t="str">
        <x:v>CASE_T1_006</x:v>
      </x:c>
      <x:c r="C7" s="24" t="n">
        <x:v>47.6</x:v>
      </x:c>
      <x:c r="D7" s="24" t="n">
        <x:v>34.1</x:v>
      </x:c>
      <x:c r="E7" s="24" t="n">
        <x:f>IFERROR(D7/C7,"")</x:f>
        <x:v>0.7163865546218487</x:v>
      </x:c>
      <x:c r="F7" s="24" t="n">
        <x:v>78.7</x:v>
      </x:c>
      <x:c r="G7" s="24" t="str">
        <x:v>NA</x:v>
      </x:c>
      <x:c r="H7" s="20" t="str">
        <x:v>%</x:v>
      </x:c>
      <x:c r="I7" s="20" t="str">
        <x:v>%</x:v>
      </x:c>
      <x:c r="J7" s="20" t="str">
        <x:v>%</x:v>
      </x:c>
      <x:c r="K7" s="20" t="str">
        <x:v>10^9/L</x:v>
      </x:c>
      <x:c r="L7" s="22" t="str">
        <x:v>来源表：O型42.0-140.8%；非O型66.1-79.9%（需核对原实验室）</x:v>
      </x:c>
      <x:c r="M7" s="22" t="str">
        <x:v>来源表：O型40.3-125.9%；非O型48.8-163.4%</x:v>
      </x:c>
      <x:c r="N7" s="20" t="str">
        <x:v>50-150%</x:v>
      </x:c>
      <x:c r="O7" s="20" t="str">
        <x:v>未提供</x:v>
      </x:c>
    </x:row>
    <x:row r="8">
      <x:c r="A8" s="20" t="n">
        <x:v>7</x:v>
      </x:c>
      <x:c r="B8" s="20" t="str">
        <x:v>CASE_T1_007</x:v>
      </x:c>
      <x:c r="C8" s="24" t="n">
        <x:v>48.8</x:v>
      </x:c>
      <x:c r="D8" s="24" t="n">
        <x:v>33.6</x:v>
      </x:c>
      <x:c r="E8" s="24" t="n">
        <x:f>IFERROR(D8/C8,"")</x:f>
        <x:v>0.6885245901639345</x:v>
      </x:c>
      <x:c r="F8" s="24" t="str">
        <x:v>&lt;1</x:v>
      </x:c>
      <x:c r="G8" s="24" t="str">
        <x:v>NA</x:v>
      </x:c>
      <x:c r="H8" s="20" t="str">
        <x:v>%</x:v>
      </x:c>
      <x:c r="I8" s="20" t="str">
        <x:v>%</x:v>
      </x:c>
      <x:c r="J8" s="20" t="str">
        <x:v>%</x:v>
      </x:c>
      <x:c r="K8" s="20" t="str">
        <x:v>10^9/L</x:v>
      </x:c>
      <x:c r="L8" s="22" t="str">
        <x:v>来源表：O型42.0-140.8%；非O型66.1-79.9%（需核对原实验室）</x:v>
      </x:c>
      <x:c r="M8" s="22" t="str">
        <x:v>来源表：O型40.3-125.9%；非O型48.8-163.4%</x:v>
      </x:c>
      <x:c r="N8" s="20" t="str">
        <x:v>50-150%</x:v>
      </x:c>
      <x:c r="O8" s="20" t="str">
        <x:v>未提供</x:v>
      </x:c>
    </x:row>
    <x:row r="9">
      <x:c r="A9" s="20" t="n">
        <x:v>8</x:v>
      </x:c>
      <x:c r="B9" s="20" t="str">
        <x:v>CASE_T1_008</x:v>
      </x:c>
      <x:c r="C9" s="24" t="n">
        <x:v>37.5</x:v>
      </x:c>
      <x:c r="D9" s="24" t="n">
        <x:v>17.5</x:v>
      </x:c>
      <x:c r="E9" s="24" t="n">
        <x:f>IFERROR(D9/C9,"")</x:f>
        <x:v>0.4666666666666667</x:v>
      </x:c>
      <x:c r="F9" s="24" t="n">
        <x:v>49.1</x:v>
      </x:c>
      <x:c r="G9" s="24" t="str">
        <x:v>NA</x:v>
      </x:c>
      <x:c r="H9" s="20" t="str">
        <x:v>%</x:v>
      </x:c>
      <x:c r="I9" s="20" t="str">
        <x:v>%</x:v>
      </x:c>
      <x:c r="J9" s="20" t="str">
        <x:v>%</x:v>
      </x:c>
      <x:c r="K9" s="20" t="str">
        <x:v>10^9/L</x:v>
      </x:c>
      <x:c r="L9" s="22" t="str">
        <x:v>来源表：O型42.0-140.8%；非O型66.1-79.9%（需核对原实验室）</x:v>
      </x:c>
      <x:c r="M9" s="22" t="str">
        <x:v>来源表：O型40.3-125.9%；非O型48.8-163.4%</x:v>
      </x:c>
      <x:c r="N9" s="20" t="str">
        <x:v>50-150%</x:v>
      </x:c>
      <x:c r="O9" s="20" t="str">
        <x:v>未提供</x:v>
      </x:c>
    </x:row>
    <x:row r="10">
      <x:c r="A10" s="20" t="n">
        <x:v>9</x:v>
      </x:c>
      <x:c r="B10" s="20" t="str">
        <x:v>CASE_T1_009</x:v>
      </x:c>
      <x:c r="C10" s="24" t="n">
        <x:v>14</x:v>
      </x:c>
      <x:c r="D10" s="24" t="n">
        <x:v>7.5</x:v>
      </x:c>
      <x:c r="E10" s="24" t="n">
        <x:f>IFERROR(D10/C10,"")</x:f>
        <x:v>0.5357142857142857</x:v>
      </x:c>
      <x:c r="F10" s="24" t="n">
        <x:v>4.9</x:v>
      </x:c>
      <x:c r="G10" s="24" t="str">
        <x:v>NA</x:v>
      </x:c>
      <x:c r="H10" s="20" t="str">
        <x:v>%</x:v>
      </x:c>
      <x:c r="I10" s="20" t="str">
        <x:v>%</x:v>
      </x:c>
      <x:c r="J10" s="20" t="str">
        <x:v>%</x:v>
      </x:c>
      <x:c r="K10" s="20" t="str">
        <x:v>10^9/L</x:v>
      </x:c>
      <x:c r="L10" s="22" t="str">
        <x:v>来源表：O型42.0-140.8%；非O型66.1-79.9%（需核对原实验室）</x:v>
      </x:c>
      <x:c r="M10" s="22" t="str">
        <x:v>来源表：O型40.3-125.9%；非O型48.8-163.4%</x:v>
      </x:c>
      <x:c r="N10" s="20" t="str">
        <x:v>50-150%</x:v>
      </x:c>
      <x:c r="O10" s="20" t="str">
        <x:v>未提供</x:v>
      </x:c>
    </x:row>
    <x:row r="11">
      <x:c r="A11" s="21" t="n">
        <x:v>10</x:v>
      </x:c>
      <x:c r="B11" s="21" t="str">
        <x:v>CASE_T1_010</x:v>
      </x:c>
      <x:c r="C11" s="25" t="n">
        <x:v>42.7</x:v>
      </x:c>
      <x:c r="D11" s="25" t="n">
        <x:v>36.1</x:v>
      </x:c>
      <x:c r="E11" s="25" t="n">
        <x:f>IFERROR(D11/C11,"")</x:f>
        <x:v>0.8454332552693208</x:v>
      </x:c>
      <x:c r="F11" s="25" t="n">
        <x:v>49.1</x:v>
      </x:c>
      <x:c r="G11" s="25" t="str">
        <x:v>NA</x:v>
      </x:c>
      <x:c r="H11" s="21" t="str">
        <x:v>%</x:v>
      </x:c>
      <x:c r="I11" s="21" t="str">
        <x:v>%</x:v>
      </x:c>
      <x:c r="J11" s="21" t="str">
        <x:v>%</x:v>
      </x:c>
      <x:c r="K11" s="21" t="str">
        <x:v>10^9/L</x:v>
      </x:c>
      <x:c r="L11" s="23" t="str">
        <x:v>来源表：O型42.0-140.8%；非O型66.1-79.9%（需核对原实验室）</x:v>
      </x:c>
      <x:c r="M11" s="23" t="str">
        <x:v>来源表：O型40.3-125.9%；非O型48.8-163.4%</x:v>
      </x:c>
      <x:c r="N11" s="21" t="str">
        <x:v>50-150%</x:v>
      </x:c>
      <x:c r="O11" s="21" t="str">
        <x:v>未提供</x:v>
      </x:c>
    </x:row>
  </x:sheetData>
  <x:pageMargins left="0.7" right="0.7" top="0.75" bottom="0.75" header="0.3" footer="0.3"/>
  <x:tableParts count="1">
    <x:tablePart xmlns:r="http://schemas.openxmlformats.org/officeDocument/2006/relationships" r:id="Rb5ff8d7e20b04c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21" hidden="0" customWidth="1"/>
    <x:col min="12" max="12" width="19" hidden="0" customWidth="1"/>
    <x:col min="13" max="13" width="17" hidden="0" customWidth="1"/>
    <x:col min="14" max="14" width="21" hidden="0" customWidth="1"/>
    <x:col min="15" max="15" width="21" hidden="0" customWidth="1"/>
    <x:col min="16" max="16" width="17" hidden="0" customWidth="1"/>
    <x:col min="17" max="17" width="28" hidden="0" customWidth="1"/>
    <x:col min="18" max="18" width="23" hidden="0" customWidth="1"/>
    <x:col min="19" max="19" width="45" hidden="0" customWidth="1"/>
    <x:col min="20" max="20" width="45" hidden="0" customWidth="1"/>
    <x:col min="21" max="21" width="17" hidden="0" customWidth="1"/>
    <x:col min="22" max="22" width="11" hidden="0" customWidth="1"/>
    <x:col min="23" max="23" width="45" hidden="0" customWidth="1"/>
  </x:cols>
  <x:sheetData>
    <x:row r="1" ht="38" customHeight="1">
      <x:c r="A1" s="19" t="str">
        <x:v>编号</x:v>
      </x:c>
      <x:c r="B1" s="19" t="str">
        <x:v>研究病例ID</x:v>
      </x:c>
      <x:c r="C1" s="19" t="str">
        <x:v>突变基因</x:v>
      </x:c>
      <x:c r="D1" s="19" t="str">
        <x:v>核苷酸改变</x:v>
      </x:c>
      <x:c r="E1" s="19" t="str">
        <x:v>氨基酸改变</x:v>
      </x:c>
      <x:c r="F1" s="19" t="str">
        <x:v>染色体位置</x:v>
      </x:c>
      <x:c r="G1" s="19" t="str">
        <x:v>变异类型</x:v>
      </x:c>
      <x:c r="H1" s="19" t="str">
        <x:v>合子状态</x:v>
      </x:c>
      <x:c r="I1" s="19" t="str">
        <x:v>报告相位</x:v>
      </x:c>
      <x:c r="J1" s="19" t="str">
        <x:v>报告ACMG</x:v>
      </x:c>
      <x:c r="K1" s="19" t="str">
        <x:v>归一化基因组版本</x:v>
      </x:c>
      <x:c r="L1" s="19" t="str">
        <x:v>hg38染色体</x:v>
      </x:c>
      <x:c r="M1" s="19" t="str">
        <x:v>hg38位置</x:v>
      </x:c>
      <x:c r="N1" s="19" t="str">
        <x:v>hg38_REF</x:v>
      </x:c>
      <x:c r="O1" s="19" t="str">
        <x:v>hg38_ALT</x:v>
      </x:c>
      <x:c r="P1" s="19" t="str">
        <x:v>蛋白紧凑表示</x:v>
      </x:c>
      <x:c r="Q1" s="19" t="str">
        <x:v>AlphaGenome请求状态</x:v>
      </x:c>
      <x:c r="R1" s="19" t="str">
        <x:v>Boltz请求状态</x:v>
      </x:c>
      <x:c r="S1" s="19" t="str">
        <x:v>坐标QC</x:v>
      </x:c>
      <x:c r="T1" s="19" t="str">
        <x:v>归一化来源</x:v>
      </x:c>
      <x:c r="U1" s="19" t="str">
        <x:v>原表基因字段</x:v>
      </x:c>
      <x:c r="V1" s="19" t="str">
        <x:v>共病</x:v>
      </x:c>
      <x:c r="W1" s="19" t="str">
        <x:v>解释限制</x:v>
      </x:c>
    </x:row>
    <x:row r="2">
      <x:c r="A2" s="20" t="n">
        <x:v>1</x:v>
      </x:c>
      <x:c r="B2" s="20" t="str">
        <x:v>CASE_T1_001</x:v>
      </x:c>
      <x:c r="C2" s="20" t="str">
        <x:v>VWF</x:v>
      </x:c>
      <x:c r="D2" s="20" t="str">
        <x:v>c.4499C&gt;T</x:v>
      </x:c>
      <x:c r="E2" s="20" t="str">
        <x:v>p.Ala1500Val</x:v>
      </x:c>
      <x:c r="F2" s="20" t="str">
        <x:v>chr12:6128085</x:v>
      </x:c>
      <x:c r="G2" s="20" t="str">
        <x:v>错义</x:v>
      </x:c>
      <x:c r="H2" s="20" t="str">
        <x:v>杂合</x:v>
      </x:c>
      <x:c r="I2" s="20" t="str">
        <x:v>NA</x:v>
      </x:c>
      <x:c r="J2" s="20" t="str">
        <x:v>Uncertain</x:v>
      </x:c>
      <x:c r="K2" s="20" t="str">
        <x:v>GRCh38</x:v>
      </x:c>
      <x:c r="L2" s="20" t="str">
        <x:v>chr12</x:v>
      </x:c>
      <x:c r="M2" s="20" t="n">
        <x:v>6018919</x:v>
      </x:c>
      <x:c r="N2" s="20" t="str">
        <x:v>G</x:v>
      </x:c>
      <x:c r="O2" s="20" t="str">
        <x:v>A</x:v>
      </x:c>
      <x:c r="P2" s="20" t="str">
        <x:v>A1500V</x:v>
      </x:c>
      <x:c r="Q2" s="20" t="str">
        <x:v>READY</x:v>
      </x:c>
      <x:c r="R2" s="20" t="str">
        <x:v>READY</x:v>
      </x:c>
      <x:c r="S2" s="22" t="str">
        <x:v>SOURCE_HG19_TO_HG38_NORMALIZED</x:v>
      </x:c>
      <x:c r="T2" s="22" t="str">
        <x:v>Ensembl VEP NM_000552.5 / GRCh38</x:v>
      </x:c>
      <x:c r="U2" s="20" t="str">
        <x:v>VWF</x:v>
      </x:c>
      <x:c r="V2" s="20" t="str">
        <x:v>NA</x:v>
      </x:c>
      <x:c r="W2" s="22" t="str">
        <x:v>NA</x:v>
      </x:c>
    </x:row>
    <x:row r="3">
      <x:c r="A3" s="20" t="n">
        <x:v>2</x:v>
      </x:c>
      <x:c r="B3" s="20" t="str">
        <x:v>CASE_T1_002</x:v>
      </x:c>
      <x:c r="C3" s="20" t="str">
        <x:v>VWF</x:v>
      </x:c>
      <x:c r="D3" s="20" t="str">
        <x:v>c.5849G&gt;A</x:v>
      </x:c>
      <x:c r="E3" s="20" t="str">
        <x:v>p.Cys1950Tyr</x:v>
      </x:c>
      <x:c r="F3" s="20" t="str">
        <x:v>chr12:6105382</x:v>
      </x:c>
      <x:c r="G3" s="20" t="str">
        <x:v>错义</x:v>
      </x:c>
      <x:c r="H3" s="20" t="str">
        <x:v>杂合</x:v>
      </x:c>
      <x:c r="I3" s="20" t="str">
        <x:v>NA</x:v>
      </x:c>
      <x:c r="J3" s="20" t="str">
        <x:v>Uncertain</x:v>
      </x:c>
      <x:c r="K3" s="20" t="str">
        <x:v>GRCh38</x:v>
      </x:c>
      <x:c r="L3" s="20" t="str">
        <x:v>chr12</x:v>
      </x:c>
      <x:c r="M3" s="20" t="n">
        <x:v>5996216</x:v>
      </x:c>
      <x:c r="N3" s="20" t="str">
        <x:v>C</x:v>
      </x:c>
      <x:c r="O3" s="20" t="str">
        <x:v>T</x:v>
      </x:c>
      <x:c r="P3" s="20" t="str">
        <x:v>C1950Y</x:v>
      </x:c>
      <x:c r="Q3" s="20" t="str">
        <x:v>READY</x:v>
      </x:c>
      <x:c r="R3" s="20" t="str">
        <x:v>READY</x:v>
      </x:c>
      <x:c r="S3" s="22" t="str">
        <x:v>SOURCE_HG19_TO_HG38_NORMALIZED</x:v>
      </x:c>
      <x:c r="T3" s="22" t="str">
        <x:v>Ensembl VEP NM_000552.5 / GRCh38</x:v>
      </x:c>
      <x:c r="U3" s="20" t="str">
        <x:v>VWF</x:v>
      </x:c>
      <x:c r="V3" s="20" t="str">
        <x:v>NA</x:v>
      </x:c>
      <x:c r="W3" s="22" t="str">
        <x:v>NA</x:v>
      </x:c>
    </x:row>
    <x:row r="4">
      <x:c r="A4" s="20" t="n">
        <x:v>3</x:v>
      </x:c>
      <x:c r="B4" s="20" t="str">
        <x:v>CASE_T1_003</x:v>
      </x:c>
      <x:c r="C4" s="20" t="str">
        <x:v>VWF</x:v>
      </x:c>
      <x:c r="D4" s="20" t="str">
        <x:v>c.7464C&gt;T</x:v>
      </x:c>
      <x:c r="E4" s="20" t="str">
        <x:v>p.Gly2488=</x:v>
      </x:c>
      <x:c r="F4" s="20" t="str">
        <x:v>chr12:6080849</x:v>
      </x:c>
      <x:c r="G4" s="20" t="str">
        <x:v>同义</x:v>
      </x:c>
      <x:c r="H4" s="20" t="str">
        <x:v>杂合</x:v>
      </x:c>
      <x:c r="I4" s="20" t="str">
        <x:v>反</x:v>
      </x:c>
      <x:c r="J4" s="20" t="str">
        <x:v>Uncertain</x:v>
      </x:c>
      <x:c r="K4" s="20" t="str">
        <x:v>GRCh38</x:v>
      </x:c>
      <x:c r="L4" s="20" t="str">
        <x:v>chr12</x:v>
      </x:c>
      <x:c r="M4" s="20" t="n">
        <x:v>5971683</x:v>
      </x:c>
      <x:c r="N4" s="20" t="str">
        <x:v>G</x:v>
      </x:c>
      <x:c r="O4" s="20" t="str">
        <x:v>A</x:v>
      </x:c>
      <x:c r="P4" s="20" t="str">
        <x:v>NA</x:v>
      </x:c>
      <x:c r="Q4" s="20" t="str">
        <x:v>READY</x:v>
      </x:c>
      <x:c r="R4" s="20" t="str">
        <x:v>NOT_APPLICABLE_NON_MISSENSE</x:v>
      </x:c>
      <x:c r="S4" s="22" t="str">
        <x:v>SOURCE_HG19_TO_HG38_NORMALIZED</x:v>
      </x:c>
      <x:c r="T4" s="22" t="str">
        <x:v>Ensembl VEP NM_000552.5 / GRCh38</x:v>
      </x:c>
      <x:c r="U4" s="20" t="str">
        <x:v>VWF</x:v>
      </x:c>
      <x:c r="V4" s="20" t="str">
        <x:v>NA</x:v>
      </x:c>
      <x:c r="W4" s="22" t="str">
        <x:v>NA</x:v>
      </x:c>
    </x:row>
    <x:row r="5">
      <x:c r="A5" s="20" t="n">
        <x:v>4</x:v>
      </x:c>
      <x:c r="B5" s="20" t="str">
        <x:v>CASE_T1_004</x:v>
      </x:c>
      <x:c r="C5" s="20" t="str">
        <x:v>VWF</x:v>
      </x:c>
      <x:c r="D5" s="20" t="str">
        <x:v>NA</x:v>
      </x:c>
      <x:c r="E5" s="20" t="str">
        <x:v>NA</x:v>
      </x:c>
      <x:c r="F5" s="20" t="str">
        <x:v>NA</x:v>
      </x:c>
      <x:c r="G5" s="20" t="str">
        <x:v>大片段缺失重复</x:v>
      </x:c>
      <x:c r="H5" s="20" t="str">
        <x:v>杂合</x:v>
      </x:c>
      <x:c r="I5" s="20" t="str">
        <x:v>NA</x:v>
      </x:c>
      <x:c r="J5" s="20" t="str">
        <x:v>Uncertain</x:v>
      </x:c>
      <x:c r="K5" s="20" t="str">
        <x:v>NA</x:v>
      </x:c>
      <x:c r="L5" s="20" t="str">
        <x:v>NA</x:v>
      </x:c>
      <x:c r="M5" s="20" t="str">
        <x:v>NA</x:v>
      </x:c>
      <x:c r="N5" s="20" t="str">
        <x:v>NA</x:v>
      </x:c>
      <x:c r="O5" s="20" t="str">
        <x:v>NA</x:v>
      </x:c>
      <x:c r="P5" s="20" t="str">
        <x:v>NA</x:v>
      </x:c>
      <x:c r="Q5" s="20" t="str">
        <x:v>NEEDS_HGVS_NORMALIZATION</x:v>
      </x:c>
      <x:c r="R5" s="20" t="str">
        <x:v>NOT_APPLICABLE_NON_MISSENSE</x:v>
      </x:c>
      <x:c r="S5" s="22" t="str">
        <x:v>NORMALIZATION_NOT_AVAILABLE</x:v>
      </x:c>
      <x:c r="T5" s="22" t="str">
        <x:v>NA</x:v>
      </x:c>
      <x:c r="U5" s="20" t="str">
        <x:v>VWF</x:v>
      </x:c>
      <x:c r="V5" s="20" t="str">
        <x:v>NA</x:v>
      </x:c>
      <x:c r="W5" s="22" t="str">
        <x:v>NA</x:v>
      </x:c>
    </x:row>
    <x:row r="6">
      <x:c r="A6" s="20" t="n">
        <x:v>5</x:v>
      </x:c>
      <x:c r="B6" s="20" t="str">
        <x:v>CASE_T1_005</x:v>
      </x:c>
      <x:c r="C6" s="20" t="str">
        <x:v>VWF</x:v>
      </x:c>
      <x:c r="D6" s="20" t="str">
        <x:v>c.2964C&gt;A</x:v>
      </x:c>
      <x:c r="E6" s="20" t="str">
        <x:v>p.Tyr988Ter</x:v>
      </x:c>
      <x:c r="F6" s="20" t="str">
        <x:v>chr12:6138511</x:v>
      </x:c>
      <x:c r="G6" s="20" t="str">
        <x:v>无义</x:v>
      </x:c>
      <x:c r="H6" s="20" t="str">
        <x:v>复合杂合</x:v>
      </x:c>
      <x:c r="I6" s="20" t="str">
        <x:v>反</x:v>
      </x:c>
      <x:c r="J6" s="20" t="str">
        <x:v>Pathogenic</x:v>
      </x:c>
      <x:c r="K6" s="20" t="str">
        <x:v>GRCh38</x:v>
      </x:c>
      <x:c r="L6" s="20" t="str">
        <x:v>chr12</x:v>
      </x:c>
      <x:c r="M6" s="20" t="n">
        <x:v>6029345</x:v>
      </x:c>
      <x:c r="N6" s="20" t="str">
        <x:v>G</x:v>
      </x:c>
      <x:c r="O6" s="20" t="str">
        <x:v>T</x:v>
      </x:c>
      <x:c r="P6" s="20" t="str">
        <x:v>NA</x:v>
      </x:c>
      <x:c r="Q6" s="20" t="str">
        <x:v>READY</x:v>
      </x:c>
      <x:c r="R6" s="20" t="str">
        <x:v>NOT_APPLICABLE_NON_MISSENSE</x:v>
      </x:c>
      <x:c r="S6" s="22" t="str">
        <x:v>SOURCE_HG19_TO_HG38_NORMALIZED</x:v>
      </x:c>
      <x:c r="T6" s="22" t="str">
        <x:v>Ensembl VEP NM_000552.5 / GRCh38</x:v>
      </x:c>
      <x:c r="U6" s="20" t="str">
        <x:v>VWF</x:v>
      </x:c>
      <x:c r="V6" s="20" t="str">
        <x:v>NA</x:v>
      </x:c>
      <x:c r="W6" s="22" t="str">
        <x:v>NA</x:v>
      </x:c>
    </x:row>
    <x:row r="7">
      <x:c r="A7" s="20" t="n">
        <x:v>6</x:v>
      </x:c>
      <x:c r="B7" s="20" t="str">
        <x:v>CASE_T1_006</x:v>
      </x:c>
      <x:c r="C7" s="20" t="str">
        <x:v>VWF</x:v>
      </x:c>
      <x:c r="D7" s="20" t="str">
        <x:v>c.7219dup</x:v>
      </x:c>
      <x:c r="E7" s="20" t="str">
        <x:v>p.Leu2407ProfsTer11</x:v>
      </x:c>
      <x:c r="F7" s="20" t="str">
        <x:v>chr12:6091019-6091020</x:v>
      </x:c>
      <x:c r="G7" s="20" t="str">
        <x:v>移码</x:v>
      </x:c>
      <x:c r="H7" s="20" t="str">
        <x:v>杂合</x:v>
      </x:c>
      <x:c r="I7" s="20" t="str">
        <x:v>NA</x:v>
      </x:c>
      <x:c r="J7" s="20" t="str">
        <x:v>Pathogenic</x:v>
      </x:c>
      <x:c r="K7" s="20" t="str">
        <x:v>GRCh38</x:v>
      </x:c>
      <x:c r="L7" s="20" t="str">
        <x:v>chr12</x:v>
      </x:c>
      <x:c r="M7" s="20" t="n">
        <x:v>5981854</x:v>
      </x:c>
      <x:c r="N7" s="20" t="str">
        <x:v>G</x:v>
      </x:c>
      <x:c r="O7" s="20" t="str">
        <x:v>GG</x:v>
      </x:c>
      <x:c r="P7" s="20" t="str">
        <x:v>NA</x:v>
      </x:c>
      <x:c r="Q7" s="20" t="str">
        <x:v>READY</x:v>
      </x:c>
      <x:c r="R7" s="20" t="str">
        <x:v>NOT_APPLICABLE_NON_MISSENSE</x:v>
      </x:c>
      <x:c r="S7" s="22" t="str">
        <x:v>SOURCE_HG19_TO_HG38_NORMALIZED</x:v>
      </x:c>
      <x:c r="T7" s="22" t="str">
        <x:v>Ensembl VEP NM_000552.5 / GRCh38</x:v>
      </x:c>
      <x:c r="U7" s="20" t="str">
        <x:v>VWF</x:v>
      </x:c>
      <x:c r="V7" s="20" t="str">
        <x:v>NA</x:v>
      </x:c>
      <x:c r="W7" s="22" t="str">
        <x:v>NA</x:v>
      </x:c>
    </x:row>
    <x:row r="8">
      <x:c r="A8" s="20" t="n">
        <x:v>7</x:v>
      </x:c>
      <x:c r="B8" s="20" t="str">
        <x:v>CASE_T1_007</x:v>
      </x:c>
      <x:c r="C8" s="20" t="str">
        <x:v>VWF</x:v>
      </x:c>
      <x:c r="D8" s="20" t="str">
        <x:v>c.3379+1G&gt;A</x:v>
      </x:c>
      <x:c r="E8" s="20" t="str">
        <x:v>NA</x:v>
      </x:c>
      <x:c r="F8" s="20" t="str">
        <x:v>chr12:6132796</x:v>
      </x:c>
      <x:c r="G8" s="20" t="str">
        <x:v>剪切</x:v>
      </x:c>
      <x:c r="H8" s="20" t="str">
        <x:v>半合子</x:v>
      </x:c>
      <x:c r="I8" s="20" t="str">
        <x:v>NA</x:v>
      </x:c>
      <x:c r="J8" s="20" t="str">
        <x:v>Pathogenic</x:v>
      </x:c>
      <x:c r="K8" s="20" t="str">
        <x:v>GRCh38</x:v>
      </x:c>
      <x:c r="L8" s="20" t="str">
        <x:v>chr12</x:v>
      </x:c>
      <x:c r="M8" s="20" t="n">
        <x:v>6023630</x:v>
      </x:c>
      <x:c r="N8" s="20" t="str">
        <x:v>C</x:v>
      </x:c>
      <x:c r="O8" s="20" t="str">
        <x:v>T</x:v>
      </x:c>
      <x:c r="P8" s="20" t="str">
        <x:v>NA</x:v>
      </x:c>
      <x:c r="Q8" s="20" t="str">
        <x:v>READY</x:v>
      </x:c>
      <x:c r="R8" s="20" t="str">
        <x:v>NOT_APPLICABLE_NON_MISSENSE</x:v>
      </x:c>
      <x:c r="S8" s="22" t="str">
        <x:v>SOURCE_HG19_TO_HG38_NORMALIZED</x:v>
      </x:c>
      <x:c r="T8" s="22" t="str">
        <x:v>Ensembl VEP NM_000552.5 / GRCh38</x:v>
      </x:c>
      <x:c r="U8" s="20" t="str">
        <x:v>F8</x:v>
      </x:c>
      <x:c r="V8" s="20" t="str">
        <x:v>Hemophilia A</x:v>
      </x:c>
      <x:c r="W8" s="22" t="str">
        <x:v>FVIII:C is confounded by coexisting hemophilia A and must not support or refute VWD type 2N.</x:v>
      </x:c>
    </x:row>
    <x:row r="9">
      <x:c r="A9" s="20" t="n">
        <x:v>8</x:v>
      </x:c>
      <x:c r="B9" s="20" t="str">
        <x:v>CASE_T1_008</x:v>
      </x:c>
      <x:c r="C9" s="20" t="str">
        <x:v>VWF</x:v>
      </x:c>
      <x:c r="D9" s="20" t="str">
        <x:v>c.4238C&gt;T</x:v>
      </x:c>
      <x:c r="E9" s="20" t="str">
        <x:v>p.Pro1413Leu</x:v>
      </x:c>
      <x:c r="F9" s="20" t="str">
        <x:v>chr12:6128346</x:v>
      </x:c>
      <x:c r="G9" s="20" t="str">
        <x:v>错义</x:v>
      </x:c>
      <x:c r="H9" s="20" t="str">
        <x:v>杂合</x:v>
      </x:c>
      <x:c r="I9" s="20" t="str">
        <x:v>NA</x:v>
      </x:c>
      <x:c r="J9" s="20" t="str">
        <x:v>Uncertain</x:v>
      </x:c>
      <x:c r="K9" s="20" t="str">
        <x:v>GRCh38</x:v>
      </x:c>
      <x:c r="L9" s="20" t="str">
        <x:v>chr12</x:v>
      </x:c>
      <x:c r="M9" s="20" t="n">
        <x:v>6019180</x:v>
      </x:c>
      <x:c r="N9" s="20" t="str">
        <x:v>G</x:v>
      </x:c>
      <x:c r="O9" s="20" t="str">
        <x:v>A</x:v>
      </x:c>
      <x:c r="P9" s="20" t="str">
        <x:v>P1413L</x:v>
      </x:c>
      <x:c r="Q9" s="20" t="str">
        <x:v>READY</x:v>
      </x:c>
      <x:c r="R9" s="20" t="str">
        <x:v>READY</x:v>
      </x:c>
      <x:c r="S9" s="22" t="str">
        <x:v>SOURCE_HG19_TO_HG38_NORMALIZED</x:v>
      </x:c>
      <x:c r="T9" s="22" t="str">
        <x:v>Ensembl VEP NM_000552.5 / GRCh38</x:v>
      </x:c>
      <x:c r="U9" s="20" t="str">
        <x:v>VWF</x:v>
      </x:c>
      <x:c r="V9" s="20" t="str">
        <x:v>NA</x:v>
      </x:c>
      <x:c r="W9" s="22" t="str">
        <x:v>NA</x:v>
      </x:c>
    </x:row>
    <x:row r="10">
      <x:c r="A10" s="20" t="n">
        <x:v>9</x:v>
      </x:c>
      <x:c r="B10" s="20" t="str">
        <x:v>CASE_T1_009</x:v>
      </x:c>
      <x:c r="C10" s="20" t="str">
        <x:v>VWF</x:v>
      </x:c>
      <x:c r="D10" s="20" t="str">
        <x:v>c.3614G&gt;A</x:v>
      </x:c>
      <x:c r="E10" s="20" t="str">
        <x:v>p.Arg1205His</x:v>
      </x:c>
      <x:c r="F10" s="20" t="str">
        <x:v>NA</x:v>
      </x:c>
      <x:c r="G10" s="20" t="str">
        <x:v>错义</x:v>
      </x:c>
      <x:c r="H10" s="20" t="str">
        <x:v>杂合</x:v>
      </x:c>
      <x:c r="I10" s="20" t="str">
        <x:v>NA</x:v>
      </x:c>
      <x:c r="J10" s="20" t="str">
        <x:v>likely Pathogenic</x:v>
      </x:c>
      <x:c r="K10" s="20" t="str">
        <x:v>GRCh38</x:v>
      </x:c>
      <x:c r="L10" s="20" t="str">
        <x:v>chr12</x:v>
      </x:c>
      <x:c r="M10" s="20" t="n">
        <x:v>6021960</x:v>
      </x:c>
      <x:c r="N10" s="20" t="str">
        <x:v>C</x:v>
      </x:c>
      <x:c r="O10" s="20" t="str">
        <x:v>T</x:v>
      </x:c>
      <x:c r="P10" s="20" t="str">
        <x:v>R1205H</x:v>
      </x:c>
      <x:c r="Q10" s="20" t="str">
        <x:v>READY</x:v>
      </x:c>
      <x:c r="R10" s="20" t="str">
        <x:v>READY</x:v>
      </x:c>
      <x:c r="S10" s="22" t="str">
        <x:v>SOURCE_COORDINATE_MISSING_HGVS_RESOLVED</x:v>
      </x:c>
      <x:c r="T10" s="22" t="str">
        <x:v>Ensembl VEP NM_000552.5 / GRCh38</x:v>
      </x:c>
      <x:c r="U10" s="20" t="str">
        <x:v>VWF</x:v>
      </x:c>
      <x:c r="V10" s="20" t="str">
        <x:v>NA</x:v>
      </x:c>
      <x:c r="W10" s="22" t="str">
        <x:v>NA</x:v>
      </x:c>
    </x:row>
    <x:row r="11">
      <x:c r="A11" s="21" t="n">
        <x:v>10</x:v>
      </x:c>
      <x:c r="B11" s="21" t="str">
        <x:v>CASE_T1_010</x:v>
      </x:c>
      <x:c r="C11" s="21" t="str">
        <x:v>VWF</x:v>
      </x:c>
      <x:c r="D11" s="21" t="str">
        <x:v>c.5827C&gt;T</x:v>
      </x:c>
      <x:c r="E11" s="21" t="str">
        <x:v>p.Arg1943Cys</x:v>
      </x:c>
      <x:c r="F11" s="21" t="str">
        <x:v>chr12:6120798</x:v>
      </x:c>
      <x:c r="G11" s="21" t="str">
        <x:v>错义</x:v>
      </x:c>
      <x:c r="H11" s="21" t="str">
        <x:v>杂合</x:v>
      </x:c>
      <x:c r="I11" s="21" t="str">
        <x:v>NA</x:v>
      </x:c>
      <x:c r="J11" s="21" t="str">
        <x:v>Uncertain</x:v>
      </x:c>
      <x:c r="K11" s="21" t="str">
        <x:v>GRCh38</x:v>
      </x:c>
      <x:c r="L11" s="21" t="str">
        <x:v>chr12</x:v>
      </x:c>
      <x:c r="M11" s="21" t="n">
        <x:v>6011632</x:v>
      </x:c>
      <x:c r="N11" s="21" t="str">
        <x:v>G</x:v>
      </x:c>
      <x:c r="O11" s="21" t="str">
        <x:v>A</x:v>
      </x:c>
      <x:c r="P11" s="21" t="str">
        <x:v>R1943C</x:v>
      </x:c>
      <x:c r="Q11" s="21" t="str">
        <x:v>READY</x:v>
      </x:c>
      <x:c r="R11" s="21" t="str">
        <x:v>READY</x:v>
      </x:c>
      <x:c r="S11" s="23" t="str">
        <x:v>SOURCE_COORDINATE_CONFLICT_WITH_HGVS</x:v>
      </x:c>
      <x:c r="T11" s="23" t="str">
        <x:v>Ensembl VEP NM_000552.5 / GRCh38</x:v>
      </x:c>
      <x:c r="U11" s="21" t="str">
        <x:v>VWF</x:v>
      </x:c>
      <x:c r="V11" s="21" t="str">
        <x:v>NA</x:v>
      </x:c>
      <x:c r="W11" s="23" t="str">
        <x:v>NA</x:v>
      </x:c>
    </x:row>
  </x:sheetData>
  <x:conditionalFormatting sqref="Q2:Q11">
    <x:cfRule type="containsText" dxfId="0" priority="1" operator="containsText" text="READY"/>
  </x:conditionalFormatting>
  <x:conditionalFormatting sqref="R2:R11">
    <x:cfRule type="containsText" dxfId="1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c7e1316f816e46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1" hidden="0" customWidth="1"/>
    <x:col min="5" max="5" width="45" hidden="0" customWidth="1"/>
    <x:col min="6" max="6" width="45" hidden="0" customWidth="1"/>
    <x:col min="7" max="7" width="21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5" hidden="0" customWidth="1"/>
    <x:col min="22" max="22" width="45" hidden="0" customWidth="1"/>
    <x:col min="23" max="23" width="45" hidden="0" customWidth="1"/>
    <x:col min="24" max="24" width="45" hidden="0" customWidth="1"/>
  </x:cols>
  <x:sheetData>
    <x:row r="1" ht="38" customHeight="1">
      <x:c r="A1" s="19" t="str">
        <x:v>研究病例ID</x:v>
      </x:c>
      <x:c r="B1" s="19" t="str">
        <x:v>性别</x:v>
      </x:c>
      <x:c r="C1" s="19" t="str">
        <x:v>年龄</x:v>
      </x:c>
      <x:c r="D1" s="19" t="str">
        <x:v>病程</x:v>
      </x:c>
      <x:c r="E1" s="19" t="str">
        <x:v>主要症状</x:v>
      </x:c>
      <x:c r="F1" s="19" t="str">
        <x:v>家族史</x:v>
      </x:c>
      <x:c r="G1" s="19" t="str">
        <x:v>ISTH-BAT</x:v>
      </x:c>
      <x:c r="H1" s="19" t="str">
        <x:v>高浓度瑞斯托霉素血小板聚集</x:v>
      </x:c>
      <x:c r="I1" s="19" t="str">
        <x:v>DDAVP_VWF:Ag_输注前</x:v>
      </x:c>
      <x:c r="J1" s="19" t="str">
        <x:v>DDAVP_VWF:Ag_0.5h</x:v>
      </x:c>
      <x:c r="K1" s="19" t="str">
        <x:v>DDAVP_VWF:Ag_1h</x:v>
      </x:c>
      <x:c r="L1" s="19" t="str">
        <x:v>DDAVP_VWF:Ag_4h</x:v>
      </x:c>
      <x:c r="M1" s="19" t="str">
        <x:v>DDAVP_VWF:Act_输注前</x:v>
      </x:c>
      <x:c r="N1" s="19" t="str">
        <x:v>DDAVP_VWF:Act_0.5h</x:v>
      </x:c>
      <x:c r="O1" s="19" t="str">
        <x:v>DDAVP_VWF:Act_1h</x:v>
      </x:c>
      <x:c r="P1" s="19" t="str">
        <x:v>DDAVP_VWF:Act_4h</x:v>
      </x:c>
      <x:c r="Q1" s="19" t="str">
        <x:v>DDAVP_FVIII:C_输注前</x:v>
      </x:c>
      <x:c r="R1" s="19" t="str">
        <x:v>DDAVP_FVIII:C_0.5h</x:v>
      </x:c>
      <x:c r="S1" s="19" t="str">
        <x:v>DDAVP_FVIII:C_1h</x:v>
      </x:c>
      <x:c r="T1" s="19" t="str">
        <x:v>DDAVP_FVIII:C_4h</x:v>
      </x:c>
      <x:c r="U1" s="19" t="str">
        <x:v>DDAVP报告反应性</x:v>
      </x:c>
      <x:c r="V1" s="19" t="str">
        <x:v>既往治疗</x:v>
      </x:c>
      <x:c r="W1" s="19" t="str">
        <x:v>共病</x:v>
      </x:c>
      <x:c r="X1" s="19" t="str">
        <x:v>解释限制</x:v>
      </x:c>
    </x:row>
    <x:row r="2">
      <x:c r="A2" s="20" t="str">
        <x:v>CASE_T1_001</x:v>
      </x:c>
      <x:c r="B2" s="20" t="str">
        <x:v>男</x:v>
      </x:c>
      <x:c r="C2" s="20" t="str">
        <x:v>5岁</x:v>
      </x:c>
      <x:c r="D2" s="20" t="str">
        <x:v>2年</x:v>
      </x:c>
      <x:c r="E2" s="22" t="str">
        <x:v>APTT延长，FV:C减低，vWF FVIII未查</x:v>
      </x:c>
      <x:c r="F2" s="22" t="str">
        <x:v>阴性</x:v>
      </x:c>
      <x:c r="G2" s="20" t="n">
        <x:v>0</x:v>
      </x:c>
      <x:c r="H2" s="20" t="str">
        <x:v>NA</x:v>
      </x:c>
      <x:c r="I2" s="20" t="str">
        <x:v>NA</x:v>
      </x:c>
      <x:c r="J2" s="20" t="str">
        <x:v>NA</x:v>
      </x:c>
      <x:c r="K2" s="20" t="str">
        <x:v>NA</x:v>
      </x:c>
      <x:c r="L2" s="20" t="str">
        <x:v>NA</x:v>
      </x:c>
      <x:c r="M2" s="20" t="str">
        <x:v>NA</x:v>
      </x:c>
      <x:c r="N2" s="20" t="str">
        <x:v>NA</x:v>
      </x:c>
      <x:c r="O2" s="20" t="str">
        <x:v>NA</x:v>
      </x:c>
      <x:c r="P2" s="20" t="str">
        <x:v>NA</x:v>
      </x:c>
      <x:c r="Q2" s="20" t="str">
        <x:v>NA</x:v>
      </x:c>
      <x:c r="R2" s="20" t="str">
        <x:v>NA</x:v>
      </x:c>
      <x:c r="S2" s="20" t="str">
        <x:v>NA</x:v>
      </x:c>
      <x:c r="T2" s="20" t="str">
        <x:v>NA</x:v>
      </x:c>
      <x:c r="U2" s="20" t="str">
        <x:v>NA</x:v>
      </x:c>
      <x:c r="V2" s="22" t="str">
        <x:v>无</x:v>
      </x:c>
      <x:c r="W2" s="22" t="str">
        <x:v>NA</x:v>
      </x:c>
      <x:c r="X2" s="22" t="str">
        <x:v>NA</x:v>
      </x:c>
    </x:row>
    <x:row r="3">
      <x:c r="A3" s="20" t="str">
        <x:v>CASE_T1_002</x:v>
      </x:c>
      <x:c r="B3" s="20" t="str">
        <x:v>女</x:v>
      </x:c>
      <x:c r="C3" s="20" t="str">
        <x:v>15岁</x:v>
      </x:c>
      <x:c r="D3" s="20" t="str">
        <x:v>8年</x:v>
      </x:c>
      <x:c r="E3" s="22" t="str">
        <x:v>发现缺铁性贫血，伴有鼻出血多，初潮后月经多</x:v>
      </x:c>
      <x:c r="F3" s="22" t="str">
        <x:v>阴性</x:v>
      </x:c>
      <x:c r="G3" s="20" t="n">
        <x:v>4</x:v>
      </x:c>
      <x:c r="H3" s="20" t="n">
        <x:v>90.9</x:v>
      </x:c>
      <x:c r="I3" s="20" t="str">
        <x:v>NA</x:v>
      </x:c>
      <x:c r="J3" s="20" t="str">
        <x:v>NA</x:v>
      </x:c>
      <x:c r="K3" s="20" t="str">
        <x:v>NA</x:v>
      </x:c>
      <x:c r="L3" s="20" t="str">
        <x:v>NA</x:v>
      </x:c>
      <x:c r="M3" s="20" t="str">
        <x:v>NA</x:v>
      </x:c>
      <x:c r="N3" s="20" t="str">
        <x:v>NA</x:v>
      </x:c>
      <x:c r="O3" s="20" t="str">
        <x:v>NA</x:v>
      </x:c>
      <x:c r="P3" s="20" t="str">
        <x:v>NA</x:v>
      </x:c>
      <x:c r="Q3" s="20" t="str">
        <x:v>NA</x:v>
      </x:c>
      <x:c r="R3" s="20" t="str">
        <x:v>NA</x:v>
      </x:c>
      <x:c r="S3" s="20" t="str">
        <x:v>NA</x:v>
      </x:c>
      <x:c r="T3" s="20" t="str">
        <x:v>NA</x:v>
      </x:c>
      <x:c r="U3" s="20" t="str">
        <x:v>NA</x:v>
      </x:c>
      <x:c r="V3" s="22" t="str">
        <x:v>无</x:v>
      </x:c>
      <x:c r="W3" s="22" t="str">
        <x:v>NA</x:v>
      </x:c>
      <x:c r="X3" s="22" t="str">
        <x:v>NA</x:v>
      </x:c>
    </x:row>
    <x:row r="4">
      <x:c r="A4" s="20" t="str">
        <x:v>CASE_T1_003</x:v>
      </x:c>
      <x:c r="B4" s="20" t="str">
        <x:v>男</x:v>
      </x:c>
      <x:c r="C4" s="20" t="str">
        <x:v>4岁</x:v>
      </x:c>
      <x:c r="D4" s="20" t="str">
        <x:v>9月</x:v>
      </x:c>
      <x:c r="E4" s="22" t="str">
        <x:v>3岁10月鼻衄，量偏大，诊断过敏性鼻炎，治疗有好转。鼻衄每月1-2次。孕39周胎盘早剥</x:v>
      </x:c>
      <x:c r="F4" s="22" t="str">
        <x:v>阴性</x:v>
      </x:c>
      <x:c r="G4" s="20" t="n">
        <x:v>0</x:v>
      </x:c>
      <x:c r="H4" s="20" t="n">
        <x:v>90.4</x:v>
      </x:c>
      <x:c r="I4" s="20" t="str">
        <x:v>NA</x:v>
      </x:c>
      <x:c r="J4" s="20" t="str">
        <x:v>NA</x:v>
      </x:c>
      <x:c r="K4" s="20" t="str">
        <x:v>NA</x:v>
      </x:c>
      <x:c r="L4" s="20" t="str">
        <x:v>NA</x:v>
      </x:c>
      <x:c r="M4" s="20" t="str">
        <x:v>NA</x:v>
      </x:c>
      <x:c r="N4" s="20" t="str">
        <x:v>NA</x:v>
      </x:c>
      <x:c r="O4" s="20" t="str">
        <x:v>NA</x:v>
      </x:c>
      <x:c r="P4" s="20" t="str">
        <x:v>NA</x:v>
      </x:c>
      <x:c r="Q4" s="20" t="str">
        <x:v>NA</x:v>
      </x:c>
      <x:c r="R4" s="20" t="str">
        <x:v>NA</x:v>
      </x:c>
      <x:c r="S4" s="20" t="str">
        <x:v>NA</x:v>
      </x:c>
      <x:c r="T4" s="20" t="str">
        <x:v>NA</x:v>
      </x:c>
      <x:c r="U4" s="20" t="str">
        <x:v>NA</x:v>
      </x:c>
      <x:c r="V4" s="22" t="str">
        <x:v>无</x:v>
      </x:c>
      <x:c r="W4" s="22" t="str">
        <x:v>NA</x:v>
      </x:c>
      <x:c r="X4" s="22" t="str">
        <x:v>NA</x:v>
      </x:c>
    </x:row>
    <x:row r="5">
      <x:c r="A5" s="20" t="str">
        <x:v>CASE_T1_004</x:v>
      </x:c>
      <x:c r="B5" s="20" t="str">
        <x:v>女</x:v>
      </x:c>
      <x:c r="C5" s="20" t="str">
        <x:v>11岁</x:v>
      </x:c>
      <x:c r="D5" s="20" t="str">
        <x:v>3年</x:v>
      </x:c>
      <x:c r="E5" s="22" t="str">
        <x:v>大量月经出血伴失血性贫血、失血性休克</x:v>
      </x:c>
      <x:c r="F5" s="22" t="str">
        <x:v>阴性</x:v>
      </x:c>
      <x:c r="G5" s="20" t="n">
        <x:v>4</x:v>
      </x:c>
      <x:c r="H5" s="20" t="str">
        <x:v>NA</x:v>
      </x:c>
      <x:c r="I5" s="20" t="str">
        <x:v>NA</x:v>
      </x:c>
      <x:c r="J5" s="20" t="str">
        <x:v>NA</x:v>
      </x:c>
      <x:c r="K5" s="20" t="str">
        <x:v>NA</x:v>
      </x:c>
      <x:c r="L5" s="20" t="str">
        <x:v>NA</x:v>
      </x:c>
      <x:c r="M5" s="20" t="str">
        <x:v>NA</x:v>
      </x:c>
      <x:c r="N5" s="20" t="str">
        <x:v>NA</x:v>
      </x:c>
      <x:c r="O5" s="20" t="str">
        <x:v>NA</x:v>
      </x:c>
      <x:c r="P5" s="20" t="str">
        <x:v>NA</x:v>
      </x:c>
      <x:c r="Q5" s="20" t="str">
        <x:v>NA</x:v>
      </x:c>
      <x:c r="R5" s="20" t="str">
        <x:v>NA</x:v>
      </x:c>
      <x:c r="S5" s="20" t="str">
        <x:v>NA</x:v>
      </x:c>
      <x:c r="T5" s="20" t="str">
        <x:v>NA</x:v>
      </x:c>
      <x:c r="U5" s="20" t="str">
        <x:v>NA</x:v>
      </x:c>
      <x:c r="V5" s="22" t="str">
        <x:v>无</x:v>
      </x:c>
      <x:c r="W5" s="22" t="str">
        <x:v>NA</x:v>
      </x:c>
      <x:c r="X5" s="22" t="str">
        <x:v>NA</x:v>
      </x:c>
    </x:row>
    <x:row r="6">
      <x:c r="A6" s="20" t="str">
        <x:v>CASE_T1_005</x:v>
      </x:c>
      <x:c r="B6" s="20" t="str">
        <x:v>女</x:v>
      </x:c>
      <x:c r="C6" s="20" t="str">
        <x:v>3岁</x:v>
      </x:c>
      <x:c r="D6" s="20" t="str">
        <x:v>10月</x:v>
      </x:c>
      <x:c r="E6" s="22" t="str">
        <x:v>鼻衄</x:v>
      </x:c>
      <x:c r="F6" s="22" t="str">
        <x:v>阴性</x:v>
      </x:c>
      <x:c r="G6" s="20" t="n">
        <x:v>0</x:v>
      </x:c>
      <x:c r="H6" s="20" t="str">
        <x:v>NA</x:v>
      </x:c>
      <x:c r="I6" s="20" t="n">
        <x:v>10.4</x:v>
      </x:c>
      <x:c r="J6" s="20" t="str">
        <x:v>NA</x:v>
      </x:c>
      <x:c r="K6" s="20" t="n">
        <x:v>13.2</x:v>
      </x:c>
      <x:c r="L6" s="20" t="n">
        <x:v>35</x:v>
      </x:c>
      <x:c r="M6" s="20" t="n">
        <x:v>0</x:v>
      </x:c>
      <x:c r="N6" s="20" t="str">
        <x:v>NA</x:v>
      </x:c>
      <x:c r="O6" s="20" t="n">
        <x:v>7.5</x:v>
      </x:c>
      <x:c r="P6" s="20" t="n">
        <x:v>0</x:v>
      </x:c>
      <x:c r="Q6" s="20" t="n">
        <x:v>31.7</x:v>
      </x:c>
      <x:c r="R6" s="20" t="str">
        <x:v>NA</x:v>
      </x:c>
      <x:c r="S6" s="20" t="n">
        <x:v>39.8</x:v>
      </x:c>
      <x:c r="T6" s="20" t="n">
        <x:v>47.6</x:v>
      </x:c>
      <x:c r="U6" s="20" t="str">
        <x:v>无效</x:v>
      </x:c>
      <x:c r="V6" s="22" t="str">
        <x:v>2022年10月至2025年3月开始预防治疗，200单位每次，每14天1次，至今</x:v>
      </x:c>
      <x:c r="W6" s="22" t="str">
        <x:v>NA</x:v>
      </x:c>
      <x:c r="X6" s="22" t="str">
        <x:v>NA</x:v>
      </x:c>
    </x:row>
    <x:row r="7">
      <x:c r="A7" s="20" t="str">
        <x:v>CASE_T1_006</x:v>
      </x:c>
      <x:c r="B7" s="20" t="str">
        <x:v>男</x:v>
      </x:c>
      <x:c r="C7" s="20" t="str">
        <x:v>5岁</x:v>
      </x:c>
      <x:c r="D7" s="20" t="str">
        <x:v>5年</x:v>
      </x:c>
      <x:c r="E7" s="22" t="str">
        <x:v>间断鼻衄5年</x:v>
      </x:c>
      <x:c r="F7" s="22" t="str">
        <x:v>阴性</x:v>
      </x:c>
      <x:c r="G7" s="20" t="n">
        <x:v>0</x:v>
      </x:c>
      <x:c r="H7" s="20" t="n">
        <x:v>93.3</x:v>
      </x:c>
      <x:c r="I7" s="20" t="str">
        <x:v>NA</x:v>
      </x:c>
      <x:c r="J7" s="20" t="str">
        <x:v>NA</x:v>
      </x:c>
      <x:c r="K7" s="20" t="str">
        <x:v>NA</x:v>
      </x:c>
      <x:c r="L7" s="20" t="str">
        <x:v>NA</x:v>
      </x:c>
      <x:c r="M7" s="20" t="str">
        <x:v>NA</x:v>
      </x:c>
      <x:c r="N7" s="20" t="str">
        <x:v>NA</x:v>
      </x:c>
      <x:c r="O7" s="20" t="str">
        <x:v>NA</x:v>
      </x:c>
      <x:c r="P7" s="20" t="str">
        <x:v>NA</x:v>
      </x:c>
      <x:c r="Q7" s="20" t="str">
        <x:v>NA</x:v>
      </x:c>
      <x:c r="R7" s="20" t="str">
        <x:v>NA</x:v>
      </x:c>
      <x:c r="S7" s="20" t="str">
        <x:v>NA</x:v>
      </x:c>
      <x:c r="T7" s="20" t="str">
        <x:v>NA</x:v>
      </x:c>
      <x:c r="U7" s="20" t="str">
        <x:v>NA</x:v>
      </x:c>
      <x:c r="V7" s="22" t="str">
        <x:v>无</x:v>
      </x:c>
      <x:c r="W7" s="22" t="str">
        <x:v>NA</x:v>
      </x:c>
      <x:c r="X7" s="22" t="str">
        <x:v>NA</x:v>
      </x:c>
    </x:row>
    <x:row r="8">
      <x:c r="A8" s="20" t="str">
        <x:v>CASE_T1_007</x:v>
      </x:c>
      <x:c r="B8" s="20" t="str">
        <x:v>男</x:v>
      </x:c>
      <x:c r="C8" s="20" t="str">
        <x:v>8月</x:v>
      </x:c>
      <x:c r="D8" s="20" t="str">
        <x:v>半年</x:v>
      </x:c>
      <x:c r="E8" s="22" t="str">
        <x:v>外伤后关节肿胀、皮肤出血、便中带血半年；FVIII:C&lt;1%</x:v>
      </x:c>
      <x:c r="F8" s="22" t="str">
        <x:v>有血友病家族史：患儿舅老爷为患者</x:v>
      </x:c>
      <x:c r="G8" s="20" t="n">
        <x:v>4</x:v>
      </x:c>
      <x:c r="H8" s="20" t="str">
        <x:v>NA</x:v>
      </x:c>
      <x:c r="I8" s="20" t="str">
        <x:v>NA</x:v>
      </x:c>
      <x:c r="J8" s="20" t="str">
        <x:v>NA</x:v>
      </x:c>
      <x:c r="K8" s="20" t="str">
        <x:v>NA</x:v>
      </x:c>
      <x:c r="L8" s="20" t="str">
        <x:v>NA</x:v>
      </x:c>
      <x:c r="M8" s="20" t="str">
        <x:v>NA</x:v>
      </x:c>
      <x:c r="N8" s="20" t="str">
        <x:v>NA</x:v>
      </x:c>
      <x:c r="O8" s="20" t="str">
        <x:v>NA</x:v>
      </x:c>
      <x:c r="P8" s="20" t="str">
        <x:v>NA</x:v>
      </x:c>
      <x:c r="Q8" s="20" t="str">
        <x:v>NA</x:v>
      </x:c>
      <x:c r="R8" s="20" t="str">
        <x:v>NA</x:v>
      </x:c>
      <x:c r="S8" s="20" t="str">
        <x:v>NA</x:v>
      </x:c>
      <x:c r="T8" s="20" t="str">
        <x:v>NA</x:v>
      </x:c>
      <x:c r="U8" s="20" t="str">
        <x:v>NA</x:v>
      </x:c>
      <x:c r="V8" s="22" t="str">
        <x:v>无</x:v>
      </x:c>
      <x:c r="W8" s="22" t="str">
        <x:v>Hemophilia A</x:v>
      </x:c>
      <x:c r="X8" s="22" t="str">
        <x:v>FVIII:C is confounded by coexisting hemophilia A and must not support or refute VWD type 2N.</x:v>
      </x:c>
    </x:row>
    <x:row r="9">
      <x:c r="A9" s="20" t="str">
        <x:v>CASE_T1_008</x:v>
      </x:c>
      <x:c r="B9" s="20" t="str">
        <x:v>女</x:v>
      </x:c>
      <x:c r="C9" s="20" t="str">
        <x:v>5岁</x:v>
      </x:c>
      <x:c r="D9" s="20" t="str">
        <x:v>1天</x:v>
      </x:c>
      <x:c r="E9" s="22" t="str">
        <x:v>发现鼻出血，凝血功能异常</x:v>
      </x:c>
      <x:c r="F9" s="22" t="str">
        <x:v>阳性患儿父亲鼻出血</x:v>
      </x:c>
      <x:c r="G9" s="20" t="n">
        <x:v>0</x:v>
      </x:c>
      <x:c r="H9" s="20" t="str">
        <x:v>NA</x:v>
      </x:c>
      <x:c r="I9" s="20" t="str">
        <x:v>NA</x:v>
      </x:c>
      <x:c r="J9" s="20" t="str">
        <x:v>NA</x:v>
      </x:c>
      <x:c r="K9" s="20" t="str">
        <x:v>NA</x:v>
      </x:c>
      <x:c r="L9" s="20" t="str">
        <x:v>NA</x:v>
      </x:c>
      <x:c r="M9" s="20" t="str">
        <x:v>NA</x:v>
      </x:c>
      <x:c r="N9" s="20" t="str">
        <x:v>NA</x:v>
      </x:c>
      <x:c r="O9" s="20" t="str">
        <x:v>NA</x:v>
      </x:c>
      <x:c r="P9" s="20" t="str">
        <x:v>NA</x:v>
      </x:c>
      <x:c r="Q9" s="20" t="str">
        <x:v>NA</x:v>
      </x:c>
      <x:c r="R9" s="20" t="str">
        <x:v>NA</x:v>
      </x:c>
      <x:c r="S9" s="20" t="str">
        <x:v>NA</x:v>
      </x:c>
      <x:c r="T9" s="20" t="str">
        <x:v>NA</x:v>
      </x:c>
      <x:c r="U9" s="20" t="str">
        <x:v>NA</x:v>
      </x:c>
      <x:c r="V9" s="22" t="str">
        <x:v>无</x:v>
      </x:c>
      <x:c r="W9" s="22" t="str">
        <x:v>NA</x:v>
      </x:c>
      <x:c r="X9" s="22" t="str">
        <x:v>NA</x:v>
      </x:c>
    </x:row>
    <x:row r="10">
      <x:c r="A10" s="20" t="str">
        <x:v>CASE_T1_009</x:v>
      </x:c>
      <x:c r="B10" s="20" t="str">
        <x:v>女</x:v>
      </x:c>
      <x:c r="C10" s="20" t="str">
        <x:v>10岁</x:v>
      </x:c>
      <x:c r="D10" s="20" t="str">
        <x:v>4年</x:v>
      </x:c>
      <x:c r="E10" s="22" t="str">
        <x:v>发现FVIII活性减低4年，阑尾炎诊断1周</x:v>
      </x:c>
      <x:c r="F10" s="22" t="str">
        <x:v>阳性患儿父亲 鼻出血病史</x:v>
      </x:c>
      <x:c r="G10" s="20" t="n">
        <x:v>0</x:v>
      </x:c>
      <x:c r="H10" s="20" t="n">
        <x:v>94.3</x:v>
      </x:c>
      <x:c r="I10" s="20" t="str">
        <x:v>NA</x:v>
      </x:c>
      <x:c r="J10" s="20" t="str">
        <x:v>NA</x:v>
      </x:c>
      <x:c r="K10" s="20" t="str">
        <x:v>NA</x:v>
      </x:c>
      <x:c r="L10" s="20" t="str">
        <x:v>NA</x:v>
      </x:c>
      <x:c r="M10" s="20" t="str">
        <x:v>NA</x:v>
      </x:c>
      <x:c r="N10" s="20" t="str">
        <x:v>NA</x:v>
      </x:c>
      <x:c r="O10" s="20" t="str">
        <x:v>NA</x:v>
      </x:c>
      <x:c r="P10" s="20" t="str">
        <x:v>NA</x:v>
      </x:c>
      <x:c r="Q10" s="20" t="str">
        <x:v>NA</x:v>
      </x:c>
      <x:c r="R10" s="20" t="str">
        <x:v>NA</x:v>
      </x:c>
      <x:c r="S10" s="20" t="str">
        <x:v>NA</x:v>
      </x:c>
      <x:c r="T10" s="20" t="str">
        <x:v>NA</x:v>
      </x:c>
      <x:c r="U10" s="20" t="str">
        <x:v>NA</x:v>
      </x:c>
      <x:c r="V10" s="22" t="str">
        <x:v>无</x:v>
      </x:c>
      <x:c r="W10" s="22" t="str">
        <x:v>NA</x:v>
      </x:c>
      <x:c r="X10" s="22" t="str">
        <x:v>NA</x:v>
      </x:c>
    </x:row>
    <x:row r="11">
      <x:c r="A11" s="21" t="str">
        <x:v>CASE_T1_010</x:v>
      </x:c>
      <x:c r="B11" s="21" t="str">
        <x:v>女</x:v>
      </x:c>
      <x:c r="C11" s="21" t="str">
        <x:v>12岁</x:v>
      </x:c>
      <x:c r="D11" s="21" t="str">
        <x:v>10年</x:v>
      </x:c>
      <x:c r="E11" s="23" t="str">
        <x:v>生后反复鼻出血，目前月经量大</x:v>
      </x:c>
      <x:c r="F11" s="23" t="str">
        <x:v>可疑阳性患儿母亲月经量大</x:v>
      </x:c>
      <x:c r="G11" s="21" t="n">
        <x:v>3</x:v>
      </x:c>
      <x:c r="H11" s="21" t="n">
        <x:v>87.5</x:v>
      </x:c>
      <x:c r="I11" s="21" t="str">
        <x:v>NA</x:v>
      </x:c>
      <x:c r="J11" s="21" t="str">
        <x:v>NA</x:v>
      </x:c>
      <x:c r="K11" s="21" t="str">
        <x:v>NA</x:v>
      </x:c>
      <x:c r="L11" s="21" t="str">
        <x:v>NA</x:v>
      </x:c>
      <x:c r="M11" s="21" t="str">
        <x:v>NA</x:v>
      </x:c>
      <x:c r="N11" s="21" t="str">
        <x:v>NA</x:v>
      </x:c>
      <x:c r="O11" s="21" t="str">
        <x:v>NA</x:v>
      </x:c>
      <x:c r="P11" s="21" t="str">
        <x:v>NA</x:v>
      </x:c>
      <x:c r="Q11" s="21" t="str">
        <x:v>NA</x:v>
      </x:c>
      <x:c r="R11" s="21" t="str">
        <x:v>NA</x:v>
      </x:c>
      <x:c r="S11" s="21" t="str">
        <x:v>NA</x:v>
      </x:c>
      <x:c r="T11" s="21" t="str">
        <x:v>NA</x:v>
      </x:c>
      <x:c r="U11" s="21" t="str">
        <x:v>NA</x:v>
      </x:c>
      <x:c r="V11" s="23" t="str">
        <x:v>无</x:v>
      </x:c>
      <x:c r="W11" s="23" t="str">
        <x:v>NA</x:v>
      </x:c>
      <x:c r="X11" s="23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7299ebfb55f446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7" hidden="0" customWidth="1"/>
    <x:col min="4" max="4" width="17" hidden="0" customWidth="1"/>
    <x:col min="5" max="5" width="28" hidden="0" customWidth="1"/>
    <x:col min="6" max="6" width="28" hidden="0" customWidth="1"/>
    <x:col min="7" max="7" width="19" hidden="0" customWidth="1"/>
    <x:col min="8" max="8" width="19" hidden="0" customWidth="1"/>
    <x:col min="9" max="9" width="28" hidden="0" customWidth="1"/>
    <x:col min="10" max="10" width="23" hidden="0" customWidth="1"/>
    <x:col min="11" max="11" width="45" hidden="0" customWidth="1"/>
    <x:col min="12" max="12" width="45" hidden="0" customWidth="1"/>
  </x:cols>
  <x:sheetData>
    <x:row r="1" ht="38" customHeight="1">
      <x:c r="A1" s="19" t="str">
        <x:v>研究病例ID</x:v>
      </x:c>
      <x:c r="B1" s="19" t="str">
        <x:v>基因</x:v>
      </x:c>
      <x:c r="C1" s="19" t="str">
        <x:v>HGVS_c</x:v>
      </x:c>
      <x:c r="D1" s="19" t="str">
        <x:v>HGVS_p</x:v>
      </x:c>
      <x:c r="E1" s="19" t="str">
        <x:v>AlphaGenome状态</x:v>
      </x:c>
      <x:c r="F1" s="19" t="str">
        <x:v>AlphaGenome_GRCh38</x:v>
      </x:c>
      <x:c r="G1" s="19" t="str">
        <x:v>Boltz状态</x:v>
      </x:c>
      <x:c r="H1" s="19" t="str">
        <x:v>Boltz变异</x:v>
      </x:c>
      <x:c r="I1" s="19" t="str">
        <x:v>既有AlphaGenome结果</x:v>
      </x:c>
      <x:c r="J1" s="19" t="str">
        <x:v>既有Boltz结果</x:v>
      </x:c>
      <x:c r="K1" s="19" t="str">
        <x:v>AlphaGenome原始输出</x:v>
      </x:c>
      <x:c r="L1" s="19" t="str">
        <x:v>AlphaGenome细胞选择</x:v>
      </x:c>
    </x:row>
    <x:row r="2">
      <x:c r="A2" s="20" t="str">
        <x:v>CASE_T1_001</x:v>
      </x:c>
      <x:c r="B2" s="20" t="str">
        <x:v>VWF</x:v>
      </x:c>
      <x:c r="C2" s="20" t="str">
        <x:v>c.4499C&gt;T</x:v>
      </x:c>
      <x:c r="D2" s="20" t="str">
        <x:v>p.Ala1500Val</x:v>
      </x:c>
      <x:c r="E2" s="20" t="str">
        <x:v>READY</x:v>
      </x:c>
      <x:c r="F2" s="20" t="str">
        <x:v>chr12:6018919:G&gt;A</x:v>
      </x:c>
      <x:c r="G2" s="20" t="str">
        <x:v>READY</x:v>
      </x:c>
      <x:c r="H2" s="20" t="str">
        <x:v>A1500V</x:v>
      </x:c>
      <x:c r="I2" s="20" t="str">
        <x:v>待匹配</x:v>
      </x:c>
      <x:c r="J2" s="20" t="str">
        <x:v>待匹配</x:v>
      </x:c>
      <x:c r="K2" s="22" t="str">
        <x:v>ATAC|CAGE|DNASE|RNA_SEQ|CHIP_HISTONE|CHIP_TF|SPLICE_SITES|SPLICE_SITE_USAGE|SPLICE_JUNCTIONS|CONTACT_MAPS|PROCAP</x:v>
      </x:c>
      <x:c r="L2" s="22" t="str">
        <x:v>运行时读取output_metadata；优先内皮/血管相关轨道</x:v>
      </x:c>
    </x:row>
    <x:row r="3">
      <x:c r="A3" s="20" t="str">
        <x:v>CASE_T1_002</x:v>
      </x:c>
      <x:c r="B3" s="20" t="str">
        <x:v>VWF</x:v>
      </x:c>
      <x:c r="C3" s="20" t="str">
        <x:v>c.5849G&gt;A</x:v>
      </x:c>
      <x:c r="D3" s="20" t="str">
        <x:v>p.Cys1950Tyr</x:v>
      </x:c>
      <x:c r="E3" s="20" t="str">
        <x:v>READY</x:v>
      </x:c>
      <x:c r="F3" s="20" t="str">
        <x:v>chr12:5996216:C&gt;T</x:v>
      </x:c>
      <x:c r="G3" s="20" t="str">
        <x:v>READY</x:v>
      </x:c>
      <x:c r="H3" s="20" t="str">
        <x:v>C1950Y</x:v>
      </x:c>
      <x:c r="I3" s="20" t="str">
        <x:v>待匹配</x:v>
      </x:c>
      <x:c r="J3" s="20" t="str">
        <x:v>待匹配</x:v>
      </x:c>
      <x:c r="K3" s="22" t="str">
        <x:v>ATAC|CAGE|DNASE|RNA_SEQ|CHIP_HISTONE|CHIP_TF|SPLICE_SITES|SPLICE_SITE_USAGE|SPLICE_JUNCTIONS|CONTACT_MAPS|PROCAP</x:v>
      </x:c>
      <x:c r="L3" s="22" t="str">
        <x:v>运行时读取output_metadata；优先内皮/血管相关轨道</x:v>
      </x:c>
    </x:row>
    <x:row r="4">
      <x:c r="A4" s="20" t="str">
        <x:v>CASE_T1_003</x:v>
      </x:c>
      <x:c r="B4" s="20" t="str">
        <x:v>VWF</x:v>
      </x:c>
      <x:c r="C4" s="20" t="str">
        <x:v>c.7464C&gt;T</x:v>
      </x:c>
      <x:c r="D4" s="20" t="str">
        <x:v>p.Gly2488=</x:v>
      </x:c>
      <x:c r="E4" s="20" t="str">
        <x:v>READY</x:v>
      </x:c>
      <x:c r="F4" s="20" t="str">
        <x:v>chr12:5971683:G&gt;A</x:v>
      </x:c>
      <x:c r="G4" s="20" t="str">
        <x:v>NOT_APPLICABLE_NON_MISSENSE</x:v>
      </x:c>
      <x:c r="H4" s="20" t="str">
        <x:v>NA</x:v>
      </x:c>
      <x:c r="I4" s="20" t="str">
        <x:v>待匹配</x:v>
      </x:c>
      <x:c r="J4" s="20" t="str">
        <x:v>待匹配</x:v>
      </x:c>
      <x:c r="K4" s="22" t="str">
        <x:v>ATAC|CAGE|DNASE|RNA_SEQ|CHIP_HISTONE|CHIP_TF|SPLICE_SITES|SPLICE_SITE_USAGE|SPLICE_JUNCTIONS|CONTACT_MAPS|PROCAP</x:v>
      </x:c>
      <x:c r="L4" s="22" t="str">
        <x:v>运行时读取output_metadata；优先内皮/血管相关轨道</x:v>
      </x:c>
    </x:row>
    <x:row r="5">
      <x:c r="A5" s="20" t="str">
        <x:v>CASE_T1_004</x:v>
      </x:c>
      <x:c r="B5" s="20" t="str">
        <x:v>VWF</x:v>
      </x:c>
      <x:c r="C5" s="20" t="str">
        <x:v>NA</x:v>
      </x:c>
      <x:c r="D5" s="20" t="str">
        <x:v>NA</x:v>
      </x:c>
      <x:c r="E5" s="20" t="str">
        <x:v>NEEDS_HGVS_NORMALIZATION</x:v>
      </x:c>
      <x:c r="F5" s="20" t="str">
        <x:v>NA</x:v>
      </x:c>
      <x:c r="G5" s="20" t="str">
        <x:v>NOT_APPLICABLE_NON_MISSENSE</x:v>
      </x:c>
      <x:c r="H5" s="20" t="str">
        <x:v>NA</x:v>
      </x:c>
      <x:c r="I5" s="20" t="str">
        <x:v>待匹配</x:v>
      </x:c>
      <x:c r="J5" s="20" t="str">
        <x:v>待匹配</x:v>
      </x:c>
      <x:c r="K5" s="22" t="str">
        <x:v>NA</x:v>
      </x:c>
      <x:c r="L5" s="22" t="str">
        <x:v>NA</x:v>
      </x:c>
    </x:row>
    <x:row r="6">
      <x:c r="A6" s="20" t="str">
        <x:v>CASE_T1_005</x:v>
      </x:c>
      <x:c r="B6" s="20" t="str">
        <x:v>VWF</x:v>
      </x:c>
      <x:c r="C6" s="20" t="str">
        <x:v>c.2964C&gt;A</x:v>
      </x:c>
      <x:c r="D6" s="20" t="str">
        <x:v>p.Tyr988Ter</x:v>
      </x:c>
      <x:c r="E6" s="20" t="str">
        <x:v>READY</x:v>
      </x:c>
      <x:c r="F6" s="20" t="str">
        <x:v>chr12:6029345:G&gt;T</x:v>
      </x:c>
      <x:c r="G6" s="20" t="str">
        <x:v>NOT_APPLICABLE_NON_MISSENSE</x:v>
      </x:c>
      <x:c r="H6" s="20" t="str">
        <x:v>NA</x:v>
      </x:c>
      <x:c r="I6" s="20" t="str">
        <x:v>待匹配</x:v>
      </x:c>
      <x:c r="J6" s="20" t="str">
        <x:v>待匹配</x:v>
      </x:c>
      <x:c r="K6" s="22" t="str">
        <x:v>ATAC|CAGE|DNASE|RNA_SEQ|CHIP_HISTONE|CHIP_TF|SPLICE_SITES|SPLICE_SITE_USAGE|SPLICE_JUNCTIONS|CONTACT_MAPS|PROCAP</x:v>
      </x:c>
      <x:c r="L6" s="22" t="str">
        <x:v>运行时读取output_metadata；优先内皮/血管相关轨道</x:v>
      </x:c>
    </x:row>
    <x:row r="7">
      <x:c r="A7" s="20" t="str">
        <x:v>CASE_T1_006</x:v>
      </x:c>
      <x:c r="B7" s="20" t="str">
        <x:v>VWF</x:v>
      </x:c>
      <x:c r="C7" s="20" t="str">
        <x:v>c.7219dup</x:v>
      </x:c>
      <x:c r="D7" s="20" t="str">
        <x:v>p.Leu2407ProfsTer11</x:v>
      </x:c>
      <x:c r="E7" s="20" t="str">
        <x:v>READY</x:v>
      </x:c>
      <x:c r="F7" s="20" t="str">
        <x:v>chr12:5981854:G&gt;GG</x:v>
      </x:c>
      <x:c r="G7" s="20" t="str">
        <x:v>NOT_APPLICABLE_NON_MISSENSE</x:v>
      </x:c>
      <x:c r="H7" s="20" t="str">
        <x:v>NA</x:v>
      </x:c>
      <x:c r="I7" s="20" t="str">
        <x:v>待匹配</x:v>
      </x:c>
      <x:c r="J7" s="20" t="str">
        <x:v>待匹配</x:v>
      </x:c>
      <x:c r="K7" s="22" t="str">
        <x:v>ATAC|CAGE|DNASE|RNA_SEQ|CHIP_HISTONE|CHIP_TF|SPLICE_SITES|SPLICE_SITE_USAGE|SPLICE_JUNCTIONS|CONTACT_MAPS|PROCAP</x:v>
      </x:c>
      <x:c r="L7" s="22" t="str">
        <x:v>运行时读取output_metadata；优先内皮/血管相关轨道</x:v>
      </x:c>
    </x:row>
    <x:row r="8">
      <x:c r="A8" s="20" t="str">
        <x:v>CASE_T1_007</x:v>
      </x:c>
      <x:c r="B8" s="20" t="str">
        <x:v>VWF</x:v>
      </x:c>
      <x:c r="C8" s="20" t="str">
        <x:v>c.3379+1G&gt;A</x:v>
      </x:c>
      <x:c r="D8" s="20" t="str">
        <x:v>NA</x:v>
      </x:c>
      <x:c r="E8" s="20" t="str">
        <x:v>READY</x:v>
      </x:c>
      <x:c r="F8" s="20" t="str">
        <x:v>chr12:6023630:C&gt;T</x:v>
      </x:c>
      <x:c r="G8" s="20" t="str">
        <x:v>NOT_APPLICABLE_NON_MISSENSE</x:v>
      </x:c>
      <x:c r="H8" s="20" t="str">
        <x:v>NA</x:v>
      </x:c>
      <x:c r="I8" s="20" t="str">
        <x:v>待匹配</x:v>
      </x:c>
      <x:c r="J8" s="20" t="str">
        <x:v>待匹配</x:v>
      </x:c>
      <x:c r="K8" s="22" t="str">
        <x:v>ATAC|CAGE|DNASE|RNA_SEQ|CHIP_HISTONE|CHIP_TF|SPLICE_SITES|SPLICE_SITE_USAGE|SPLICE_JUNCTIONS|CONTACT_MAPS|PROCAP</x:v>
      </x:c>
      <x:c r="L8" s="22" t="str">
        <x:v>运行时读取output_metadata；优先内皮/血管相关轨道</x:v>
      </x:c>
    </x:row>
    <x:row r="9">
      <x:c r="A9" s="20" t="str">
        <x:v>CASE_T1_008</x:v>
      </x:c>
      <x:c r="B9" s="20" t="str">
        <x:v>VWF</x:v>
      </x:c>
      <x:c r="C9" s="20" t="str">
        <x:v>c.4238C&gt;T</x:v>
      </x:c>
      <x:c r="D9" s="20" t="str">
        <x:v>p.Pro1413Leu</x:v>
      </x:c>
      <x:c r="E9" s="20" t="str">
        <x:v>READY</x:v>
      </x:c>
      <x:c r="F9" s="20" t="str">
        <x:v>chr12:6019180:G&gt;A</x:v>
      </x:c>
      <x:c r="G9" s="20" t="str">
        <x:v>READY</x:v>
      </x:c>
      <x:c r="H9" s="20" t="str">
        <x:v>P1413L</x:v>
      </x:c>
      <x:c r="I9" s="20" t="str">
        <x:v>待匹配</x:v>
      </x:c>
      <x:c r="J9" s="20" t="str">
        <x:v>待匹配</x:v>
      </x:c>
      <x:c r="K9" s="22" t="str">
        <x:v>ATAC|CAGE|DNASE|RNA_SEQ|CHIP_HISTONE|CHIP_TF|SPLICE_SITES|SPLICE_SITE_USAGE|SPLICE_JUNCTIONS|CONTACT_MAPS|PROCAP</x:v>
      </x:c>
      <x:c r="L9" s="22" t="str">
        <x:v>运行时读取output_metadata；优先内皮/血管相关轨道</x:v>
      </x:c>
    </x:row>
    <x:row r="10">
      <x:c r="A10" s="20" t="str">
        <x:v>CASE_T1_009</x:v>
      </x:c>
      <x:c r="B10" s="20" t="str">
        <x:v>VWF</x:v>
      </x:c>
      <x:c r="C10" s="20" t="str">
        <x:v>c.3614G&gt;A</x:v>
      </x:c>
      <x:c r="D10" s="20" t="str">
        <x:v>p.Arg1205His</x:v>
      </x:c>
      <x:c r="E10" s="20" t="str">
        <x:v>READY</x:v>
      </x:c>
      <x:c r="F10" s="20" t="str">
        <x:v>chr12:6021960:C&gt;T</x:v>
      </x:c>
      <x:c r="G10" s="20" t="str">
        <x:v>READY</x:v>
      </x:c>
      <x:c r="H10" s="20" t="str">
        <x:v>R1205H</x:v>
      </x:c>
      <x:c r="I10" s="20" t="str">
        <x:v>待匹配</x:v>
      </x:c>
      <x:c r="J10" s="20" t="str">
        <x:v>待匹配</x:v>
      </x:c>
      <x:c r="K10" s="22" t="str">
        <x:v>ATAC|CAGE|DNASE|RNA_SEQ|CHIP_HISTONE|CHIP_TF|SPLICE_SITES|SPLICE_SITE_USAGE|SPLICE_JUNCTIONS|CONTACT_MAPS|PROCAP</x:v>
      </x:c>
      <x:c r="L10" s="22" t="str">
        <x:v>运行时读取output_metadata；优先内皮/血管相关轨道</x:v>
      </x:c>
    </x:row>
    <x:row r="11">
      <x:c r="A11" s="21" t="str">
        <x:v>CASE_T1_010</x:v>
      </x:c>
      <x:c r="B11" s="21" t="str">
        <x:v>VWF</x:v>
      </x:c>
      <x:c r="C11" s="21" t="str">
        <x:v>c.5827C&gt;T</x:v>
      </x:c>
      <x:c r="D11" s="21" t="str">
        <x:v>p.Arg1943Cys</x:v>
      </x:c>
      <x:c r="E11" s="21" t="str">
        <x:v>READY</x:v>
      </x:c>
      <x:c r="F11" s="21" t="str">
        <x:v>chr12:6011632:G&gt;A</x:v>
      </x:c>
      <x:c r="G11" s="21" t="str">
        <x:v>READY</x:v>
      </x:c>
      <x:c r="H11" s="21" t="str">
        <x:v>R1943C</x:v>
      </x:c>
      <x:c r="I11" s="21" t="str">
        <x:v>待匹配</x:v>
      </x:c>
      <x:c r="J11" s="21" t="str">
        <x:v>待匹配</x:v>
      </x:c>
      <x:c r="K11" s="23" t="str">
        <x:v>ATAC|CAGE|DNASE|RNA_SEQ|CHIP_HISTONE|CHIP_TF|SPLICE_SITES|SPLICE_SITE_USAGE|SPLICE_JUNCTIONS|CONTACT_MAPS|PROCAP</x:v>
      </x:c>
      <x:c r="L11" s="23" t="str">
        <x:v>运行时读取output_metadata；优先内皮/血管相关轨道</x:v>
      </x:c>
    </x:row>
  </x:sheetData>
  <x:pageMargins left="0.7" right="0.7" top="0.75" bottom="0.75" header="0.3" footer="0.3"/>
  <x:tableParts count="1">
    <x:tablePart xmlns:r="http://schemas.openxmlformats.org/officeDocument/2006/relationships" r:id="R30be00c7280d4e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9" hidden="0" customWidth="1"/>
    <x:col min="4" max="4" width="28" hidden="0" customWidth="1"/>
    <x:col min="5" max="5" width="19" hidden="0" customWidth="1"/>
    <x:col min="6" max="6" width="13" hidden="0" customWidth="1"/>
    <x:col min="7" max="7" width="45" hidden="0" customWidth="1"/>
  </x:cols>
  <x:sheetData>
    <x:row r="1" ht="38" customHeight="1">
      <x:c r="A1" s="19" t="str">
        <x:v>研究病例ID</x:v>
      </x:c>
      <x:c r="B1" s="19" t="str">
        <x:v>阶段</x:v>
      </x:c>
      <x:c r="C1" s="19" t="str">
        <x:v>Agent状态</x:v>
      </x:c>
      <x:c r="D1" s="19" t="str">
        <x:v>AlphaGenome证据</x:v>
      </x:c>
      <x:c r="E1" s="19" t="str">
        <x:v>Boltz证据</x:v>
      </x:c>
      <x:c r="F1" s="19" t="str">
        <x:v>MD证据</x:v>
      </x:c>
      <x:c r="G1" s="19" t="str">
        <x:v>说明</x:v>
      </x:c>
    </x:row>
    <x:row r="2">
      <x:c r="A2" s="20" t="str">
        <x:v>CASE_T1_001</x:v>
      </x:c>
      <x:c r="B2" s="20" t="str">
        <x:v>PRE_SERVER</x:v>
      </x:c>
      <x:c r="C2" s="20" t="str">
        <x:v>等待计算结果回灌</x:v>
      </x:c>
      <x:c r="D2" s="20" t="str">
        <x:v>PENDING</x:v>
      </x:c>
      <x:c r="E2" s="20" t="str">
        <x:v>PENDING</x:v>
      </x:c>
      <x:c r="F2" s="20" t="str">
        <x:v>PENDING</x:v>
      </x:c>
      <x:c r="G2" s="22" t="str">
        <x:v>服务器结果经完整性校验后由 ingest_and_test_agent.sh 写入 Agent 流程。</x:v>
      </x:c>
    </x:row>
    <x:row r="3">
      <x:c r="A3" s="20" t="str">
        <x:v>CASE_T1_002</x:v>
      </x:c>
      <x:c r="B3" s="20" t="str">
        <x:v>PRE_SERVER</x:v>
      </x:c>
      <x:c r="C3" s="20" t="str">
        <x:v>等待计算结果回灌</x:v>
      </x:c>
      <x:c r="D3" s="20" t="str">
        <x:v>PENDING</x:v>
      </x:c>
      <x:c r="E3" s="20" t="str">
        <x:v>PENDING</x:v>
      </x:c>
      <x:c r="F3" s="20" t="str">
        <x:v>PENDING</x:v>
      </x:c>
      <x:c r="G3" s="22" t="str">
        <x:v>服务器结果经完整性校验后由 ingest_and_test_agent.sh 写入 Agent 流程。</x:v>
      </x:c>
    </x:row>
    <x:row r="4">
      <x:c r="A4" s="20" t="str">
        <x:v>CASE_T1_003</x:v>
      </x:c>
      <x:c r="B4" s="20" t="str">
        <x:v>PRE_SERVER</x:v>
      </x:c>
      <x:c r="C4" s="20" t="str">
        <x:v>等待计算结果回灌</x:v>
      </x:c>
      <x:c r="D4" s="20" t="str">
        <x:v>PENDING</x:v>
      </x:c>
      <x:c r="E4" s="20" t="str">
        <x:v>PENDING</x:v>
      </x:c>
      <x:c r="F4" s="20" t="str">
        <x:v>PENDING</x:v>
      </x:c>
      <x:c r="G4" s="22" t="str">
        <x:v>服务器结果经完整性校验后由 ingest_and_test_agent.sh 写入 Agent 流程。</x:v>
      </x:c>
    </x:row>
    <x:row r="5">
      <x:c r="A5" s="20" t="str">
        <x:v>CASE_T1_004</x:v>
      </x:c>
      <x:c r="B5" s="20" t="str">
        <x:v>PRE_SERVER</x:v>
      </x:c>
      <x:c r="C5" s="20" t="str">
        <x:v>等待计算结果回灌</x:v>
      </x:c>
      <x:c r="D5" s="20" t="str">
        <x:v>PENDING</x:v>
      </x:c>
      <x:c r="E5" s="20" t="str">
        <x:v>PENDING</x:v>
      </x:c>
      <x:c r="F5" s="20" t="str">
        <x:v>PENDING</x:v>
      </x:c>
      <x:c r="G5" s="22" t="str">
        <x:v>服务器结果经完整性校验后由 ingest_and_test_agent.sh 写入 Agent 流程。</x:v>
      </x:c>
    </x:row>
    <x:row r="6">
      <x:c r="A6" s="20" t="str">
        <x:v>CASE_T1_005</x:v>
      </x:c>
      <x:c r="B6" s="20" t="str">
        <x:v>PRE_SERVER</x:v>
      </x:c>
      <x:c r="C6" s="20" t="str">
        <x:v>等待计算结果回灌</x:v>
      </x:c>
      <x:c r="D6" s="20" t="str">
        <x:v>PENDING</x:v>
      </x:c>
      <x:c r="E6" s="20" t="str">
        <x:v>PENDING</x:v>
      </x:c>
      <x:c r="F6" s="20" t="str">
        <x:v>PENDING</x:v>
      </x:c>
      <x:c r="G6" s="22" t="str">
        <x:v>服务器结果经完整性校验后由 ingest_and_test_agent.sh 写入 Agent 流程。</x:v>
      </x:c>
    </x:row>
    <x:row r="7">
      <x:c r="A7" s="20" t="str">
        <x:v>CASE_T1_006</x:v>
      </x:c>
      <x:c r="B7" s="20" t="str">
        <x:v>PRE_SERVER</x:v>
      </x:c>
      <x:c r="C7" s="20" t="str">
        <x:v>等待计算结果回灌</x:v>
      </x:c>
      <x:c r="D7" s="20" t="str">
        <x:v>PENDING</x:v>
      </x:c>
      <x:c r="E7" s="20" t="str">
        <x:v>PENDING</x:v>
      </x:c>
      <x:c r="F7" s="20" t="str">
        <x:v>PENDING</x:v>
      </x:c>
      <x:c r="G7" s="22" t="str">
        <x:v>服务器结果经完整性校验后由 ingest_and_test_agent.sh 写入 Agent 流程。</x:v>
      </x:c>
    </x:row>
    <x:row r="8">
      <x:c r="A8" s="20" t="str">
        <x:v>CASE_T1_007</x:v>
      </x:c>
      <x:c r="B8" s="20" t="str">
        <x:v>PRE_SERVER</x:v>
      </x:c>
      <x:c r="C8" s="20" t="str">
        <x:v>等待计算结果回灌</x:v>
      </x:c>
      <x:c r="D8" s="20" t="str">
        <x:v>PENDING</x:v>
      </x:c>
      <x:c r="E8" s="20" t="str">
        <x:v>PENDING</x:v>
      </x:c>
      <x:c r="F8" s="20" t="str">
        <x:v>PENDING</x:v>
      </x:c>
      <x:c r="G8" s="22" t="str">
        <x:v>服务器结果经完整性校验后由 ingest_and_test_agent.sh 写入 Agent 流程。</x:v>
      </x:c>
    </x:row>
    <x:row r="9">
      <x:c r="A9" s="20" t="str">
        <x:v>CASE_T1_008</x:v>
      </x:c>
      <x:c r="B9" s="20" t="str">
        <x:v>PRE_SERVER</x:v>
      </x:c>
      <x:c r="C9" s="20" t="str">
        <x:v>等待计算结果回灌</x:v>
      </x:c>
      <x:c r="D9" s="20" t="str">
        <x:v>PENDING</x:v>
      </x:c>
      <x:c r="E9" s="20" t="str">
        <x:v>PENDING</x:v>
      </x:c>
      <x:c r="F9" s="20" t="str">
        <x:v>PENDING</x:v>
      </x:c>
      <x:c r="G9" s="22" t="str">
        <x:v>服务器结果经完整性校验后由 ingest_and_test_agent.sh 写入 Agent 流程。</x:v>
      </x:c>
    </x:row>
    <x:row r="10">
      <x:c r="A10" s="20" t="str">
        <x:v>CASE_T1_009</x:v>
      </x:c>
      <x:c r="B10" s="20" t="str">
        <x:v>PRE_SERVER</x:v>
      </x:c>
      <x:c r="C10" s="20" t="str">
        <x:v>等待计算结果回灌</x:v>
      </x:c>
      <x:c r="D10" s="20" t="str">
        <x:v>PENDING</x:v>
      </x:c>
      <x:c r="E10" s="20" t="str">
        <x:v>PENDING</x:v>
      </x:c>
      <x:c r="F10" s="20" t="str">
        <x:v>PENDING</x:v>
      </x:c>
      <x:c r="G10" s="22" t="str">
        <x:v>服务器结果经完整性校验后由 ingest_and_test_agent.sh 写入 Agent 流程。</x:v>
      </x:c>
    </x:row>
    <x:row r="11">
      <x:c r="A11" s="21" t="str">
        <x:v>CASE_T1_010</x:v>
      </x:c>
      <x:c r="B11" s="21" t="str">
        <x:v>PRE_SERVER</x:v>
      </x:c>
      <x:c r="C11" s="21" t="str">
        <x:v>等待计算结果回灌</x:v>
      </x:c>
      <x:c r="D11" s="21" t="str">
        <x:v>PENDING</x:v>
      </x:c>
      <x:c r="E11" s="21" t="str">
        <x:v>PENDING</x:v>
      </x:c>
      <x:c r="F11" s="21" t="str">
        <x:v>PENDING</x:v>
      </x:c>
      <x:c r="G11" s="23" t="str">
        <x:v>服务器结果经完整性校验后由 ingest_and_test_agent.sh 写入 Agent 流程。</x:v>
      </x:c>
    </x:row>
  </x:sheetData>
  <x:pageMargins left="0.7" right="0.7" top="0.75" bottom="0.75" header="0.3" footer="0.3"/>
  <x:tableParts count="1">
    <x:tablePart xmlns:r="http://schemas.openxmlformats.org/officeDocument/2006/relationships" r:id="R8e2e81f5901649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3" hidden="0" customWidth="1"/>
    <x:col min="4" max="4" width="11" hidden="0" customWidth="1"/>
    <x:col min="5" max="5" width="45" hidden="0" customWidth="1"/>
    <x:col min="6" max="6" width="45" hidden="0" customWidth="1"/>
  </x:cols>
  <x:sheetData>
    <x:row r="1" ht="38" customHeight="1">
      <x:c r="A1" s="19" t="str">
        <x:v>研究病例ID</x:v>
      </x:c>
      <x:c r="B1" s="19" t="str">
        <x:v>来源</x:v>
      </x:c>
      <x:c r="C1" s="19" t="str">
        <x:v>记录ID</x:v>
      </x:c>
      <x:c r="D1" s="19" t="str">
        <x:v>查询</x:v>
      </x:c>
      <x:c r="E1" s="19" t="str">
        <x:v>结论</x:v>
      </x:c>
      <x:c r="F1" s="19" t="str">
        <x:v>局限</x:v>
      </x:c>
    </x:row>
    <x:row r="2">
      <x:c r="A2" s="21" t="str"/>
      <x:c r="B2" s="21" t="str">
        <x:v>PENDING</x:v>
      </x:c>
      <x:c r="C2" s="21" t="str"/>
      <x:c r="D2" s="21" t="str"/>
      <x:c r="E2" s="23" t="str">
        <x:v>等待服务器回传；不可将缺失结果解释为阴性证据。</x:v>
      </x:c>
      <x:c r="F2" s="23" t="str">
        <x:v>研究用途，不构成临床诊断。</x:v>
      </x:c>
    </x:row>
  </x:sheetData>
  <x:pageMargins left="0.7" right="0.7" top="0.75" bottom="0.75" header="0.3" footer="0.3"/>
  <x:tableParts count="1">
    <x:tablePart xmlns:r="http://schemas.openxmlformats.org/officeDocument/2006/relationships" r:id="R31e033f0126746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3" hidden="0" customWidth="1"/>
    <x:col min="4" max="4" width="13" hidden="0" customWidth="1"/>
    <x:col min="5" max="5" width="28" hidden="0" customWidth="1"/>
    <x:col min="6" max="6" width="28" hidden="0" customWidth="1"/>
    <x:col min="7" max="7" width="45" hidden="0" customWidth="1"/>
    <x:col min="8" max="8" width="45" hidden="0" customWidth="1"/>
  </x:cols>
  <x:sheetData>
    <x:row r="1" ht="38" customHeight="1">
      <x:c r="A1" s="19" t="str">
        <x:v>研究病例ID</x:v>
      </x:c>
      <x:c r="B1" s="19" t="str">
        <x:v>源行</x:v>
      </x:c>
      <x:c r="C1" s="19" t="str">
        <x:v>原始基因</x:v>
      </x:c>
      <x:c r="D1" s="19" t="str">
        <x:v>标准基因</x:v>
      </x:c>
      <x:c r="E1" s="19" t="str">
        <x:v>原始坐标(hg19/未声明)</x:v>
      </x:c>
      <x:c r="F1" s="19" t="str">
        <x:v>HGVS归一化GRCh38</x:v>
      </x:c>
      <x:c r="G1" s="19" t="str">
        <x:v>坐标QC</x:v>
      </x:c>
      <x:c r="H1" s="19" t="str">
        <x:v>说明</x:v>
      </x:c>
    </x:row>
    <x:row r="2">
      <x:c r="A2" s="20" t="str">
        <x:v>CASE_T1_001</x:v>
      </x:c>
      <x:c r="B2" s="20" t="n">
        <x:v>1</x:v>
      </x:c>
      <x:c r="C2" s="20" t="str">
        <x:v>vWF</x:v>
      </x:c>
      <x:c r="D2" s="20" t="str">
        <x:v>VWF</x:v>
      </x:c>
      <x:c r="E2" s="20" t="str">
        <x:v>chr12:6128085</x:v>
      </x:c>
      <x:c r="F2" s="20" t="str">
        <x:v>chr12:6018919:G&gt;A</x:v>
      </x:c>
      <x:c r="G2" s="22" t="str">
        <x:v>SOURCE_HG19_TO_HG38_NORMALIZED</x:v>
      </x:c>
      <x:c r="H2" s="22" t="str">
        <x:v>保留原值；请求使用归一化坐标</x:v>
      </x:c>
    </x:row>
    <x:row r="3">
      <x:c r="A3" s="20" t="str">
        <x:v>CASE_T1_002</x:v>
      </x:c>
      <x:c r="B3" s="20" t="n">
        <x:v>2</x:v>
      </x:c>
      <x:c r="C3" s="20" t="str">
        <x:v>VWF</x:v>
      </x:c>
      <x:c r="D3" s="20" t="str">
        <x:v>VWF</x:v>
      </x:c>
      <x:c r="E3" s="20" t="str">
        <x:v>chr12:6105382</x:v>
      </x:c>
      <x:c r="F3" s="20" t="str">
        <x:v>chr12:5996216:C&gt;T</x:v>
      </x:c>
      <x:c r="G3" s="22" t="str">
        <x:v>SOURCE_HG19_TO_HG38_NORMALIZED</x:v>
      </x:c>
      <x:c r="H3" s="22" t="str">
        <x:v>保留原值；请求使用归一化坐标</x:v>
      </x:c>
    </x:row>
    <x:row r="4">
      <x:c r="A4" s="20" t="str">
        <x:v>CASE_T1_003</x:v>
      </x:c>
      <x:c r="B4" s="20" t="n">
        <x:v>3</x:v>
      </x:c>
      <x:c r="C4" s="20" t="str">
        <x:v>VWF</x:v>
      </x:c>
      <x:c r="D4" s="20" t="str">
        <x:v>VWF</x:v>
      </x:c>
      <x:c r="E4" s="20" t="str">
        <x:v>chr12:6080849</x:v>
      </x:c>
      <x:c r="F4" s="20" t="str">
        <x:v>chr12:5971683:G&gt;A</x:v>
      </x:c>
      <x:c r="G4" s="22" t="str">
        <x:v>SOURCE_HG19_TO_HG38_NORMALIZED</x:v>
      </x:c>
      <x:c r="H4" s="22" t="str">
        <x:v>保留原值；请求使用归一化坐标</x:v>
      </x:c>
    </x:row>
    <x:row r="5">
      <x:c r="A5" s="20" t="str">
        <x:v>CASE_T1_004</x:v>
      </x:c>
      <x:c r="B5" s="20" t="n">
        <x:v>4</x:v>
      </x:c>
      <x:c r="C5" s="20" t="str">
        <x:v>VWF</x:v>
      </x:c>
      <x:c r="D5" s="20" t="str">
        <x:v>VWF</x:v>
      </x:c>
      <x:c r="E5" s="20" t="str">
        <x:v>NA</x:v>
      </x:c>
      <x:c r="F5" s="20" t="str">
        <x:v>NA</x:v>
      </x:c>
      <x:c r="G5" s="22" t="str">
        <x:v>NORMALIZATION_NOT_AVAILABLE</x:v>
      </x:c>
      <x:c r="H5" s="22" t="str">
        <x:v>保留原值；请求使用归一化坐标</x:v>
      </x:c>
    </x:row>
    <x:row r="6">
      <x:c r="A6" s="20" t="str">
        <x:v>CASE_T1_005</x:v>
      </x:c>
      <x:c r="B6" s="20" t="n">
        <x:v>5</x:v>
      </x:c>
      <x:c r="C6" s="20" t="str">
        <x:v>VWF</x:v>
      </x:c>
      <x:c r="D6" s="20" t="str">
        <x:v>VWF</x:v>
      </x:c>
      <x:c r="E6" s="20" t="str">
        <x:v>chr12:6138511</x:v>
      </x:c>
      <x:c r="F6" s="20" t="str">
        <x:v>chr12:6029345:G&gt;T</x:v>
      </x:c>
      <x:c r="G6" s="22" t="str">
        <x:v>SOURCE_HG19_TO_HG38_NORMALIZED</x:v>
      </x:c>
      <x:c r="H6" s="22" t="str">
        <x:v>保留原值；请求使用归一化坐标</x:v>
      </x:c>
    </x:row>
    <x:row r="7">
      <x:c r="A7" s="20" t="str">
        <x:v>CASE_T1_006</x:v>
      </x:c>
      <x:c r="B7" s="20" t="n">
        <x:v>6</x:v>
      </x:c>
      <x:c r="C7" s="20" t="str">
        <x:v>VWF</x:v>
      </x:c>
      <x:c r="D7" s="20" t="str">
        <x:v>VWF</x:v>
      </x:c>
      <x:c r="E7" s="20" t="str">
        <x:v>chr12:6091019-6091020</x:v>
      </x:c>
      <x:c r="F7" s="20" t="str">
        <x:v>chr12:5981854:G&gt;GG</x:v>
      </x:c>
      <x:c r="G7" s="22" t="str">
        <x:v>SOURCE_HG19_TO_HG38_NORMALIZED</x:v>
      </x:c>
      <x:c r="H7" s="22" t="str">
        <x:v>保留原值；请求使用归一化坐标</x:v>
      </x:c>
    </x:row>
    <x:row r="8">
      <x:c r="A8" s="20" t="str">
        <x:v>CASE_T1_007</x:v>
      </x:c>
      <x:c r="B8" s="20" t="n">
        <x:v>7</x:v>
      </x:c>
      <x:c r="C8" s="20" t="str">
        <x:v>F8</x:v>
      </x:c>
      <x:c r="D8" s="20" t="str">
        <x:v>VWF</x:v>
      </x:c>
      <x:c r="E8" s="20" t="str">
        <x:v>chr12:6132796</x:v>
      </x:c>
      <x:c r="F8" s="20" t="str">
        <x:v>chr12:6023630:C&gt;T</x:v>
      </x:c>
      <x:c r="G8" s="22" t="str">
        <x:v>SOURCE_HG19_TO_HG38_NORMALIZED</x:v>
      </x:c>
      <x:c r="H8" s="22" t="str">
        <x:v>原表F8指血友病A共病；该chr12/HGVS变异按VWF归一化，FVIII:C不用于2N推断</x:v>
      </x:c>
    </x:row>
    <x:row r="9">
      <x:c r="A9" s="20" t="str">
        <x:v>CASE_T1_008</x:v>
      </x:c>
      <x:c r="B9" s="20" t="n">
        <x:v>8</x:v>
      </x:c>
      <x:c r="C9" s="20" t="str">
        <x:v>vWF</x:v>
      </x:c>
      <x:c r="D9" s="20" t="str">
        <x:v>VWF</x:v>
      </x:c>
      <x:c r="E9" s="20" t="str">
        <x:v>chr12:6128346</x:v>
      </x:c>
      <x:c r="F9" s="20" t="str">
        <x:v>chr12:6019180:G&gt;A</x:v>
      </x:c>
      <x:c r="G9" s="22" t="str">
        <x:v>SOURCE_HG19_TO_HG38_NORMALIZED</x:v>
      </x:c>
      <x:c r="H9" s="22" t="str">
        <x:v>保留原值；请求使用归一化坐标</x:v>
      </x:c>
    </x:row>
    <x:row r="10">
      <x:c r="A10" s="20" t="str">
        <x:v>CASE_T1_009</x:v>
      </x:c>
      <x:c r="B10" s="20" t="n">
        <x:v>9</x:v>
      </x:c>
      <x:c r="C10" s="20" t="str">
        <x:v>vWF</x:v>
      </x:c>
      <x:c r="D10" s="20" t="str">
        <x:v>VWF</x:v>
      </x:c>
      <x:c r="E10" s="20" t="str">
        <x:v>NA</x:v>
      </x:c>
      <x:c r="F10" s="20" t="str">
        <x:v>chr12:6021960:C&gt;T</x:v>
      </x:c>
      <x:c r="G10" s="22" t="str">
        <x:v>SOURCE_COORDINATE_MISSING_HGVS_RESOLVED</x:v>
      </x:c>
      <x:c r="H10" s="22" t="str">
        <x:v>保留原值；请求使用归一化坐标</x:v>
      </x:c>
    </x:row>
    <x:row r="11">
      <x:c r="A11" s="21" t="str">
        <x:v>CASE_T1_010</x:v>
      </x:c>
      <x:c r="B11" s="21" t="n">
        <x:v>10</x:v>
      </x:c>
      <x:c r="C11" s="21" t="str">
        <x:v>vwf</x:v>
      </x:c>
      <x:c r="D11" s="21" t="str">
        <x:v>VWF</x:v>
      </x:c>
      <x:c r="E11" s="21" t="str">
        <x:v>chr12:6120798</x:v>
      </x:c>
      <x:c r="F11" s="21" t="str">
        <x:v>chr12:6011632:G&gt;A</x:v>
      </x:c>
      <x:c r="G11" s="23" t="str">
        <x:v>SOURCE_COORDINATE_CONFLICT_WITH_HGVS</x:v>
      </x:c>
      <x:c r="H11" s="23" t="str">
        <x:v>原表坐标与 HGVS 映射不一致，以 HGVS 归一化为请求基准</x:v>
      </x:c>
    </x:row>
  </x:sheetData>
  <x:pageMargins left="0.7" right="0.7" top="0.75" bottom="0.75" header="0.3" footer="0.3"/>
  <x:tableParts count="1">
    <x:tablePart xmlns:r="http://schemas.openxmlformats.org/officeDocument/2006/relationships" r:id="Rb31837534b6e44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45" hidden="0" customWidth="1"/>
    <x:col min="4" max="4" width="11" hidden="0" customWidth="1"/>
    <x:col min="5" max="5" width="45" hidden="0" customWidth="1"/>
    <x:col min="6" max="6" width="45" hidden="0" customWidth="1"/>
  </x:cols>
  <x:sheetData>
    <x:row r="1" ht="38" customHeight="1">
      <x:c r="A1" s="19" t="str">
        <x:v>顺序</x:v>
      </x:c>
      <x:c r="B1" s="19" t="str">
        <x:v>模块</x:v>
      </x:c>
      <x:c r="C1" s="19" t="str">
        <x:v>输入</x:v>
      </x:c>
      <x:c r="D1" s="19" t="str">
        <x:v>任务数</x:v>
      </x:c>
      <x:c r="E1" s="19" t="str">
        <x:v>命令</x:v>
      </x:c>
      <x:c r="F1" s="19" t="str">
        <x:v>验收</x:v>
      </x:c>
    </x:row>
    <x:row r="2">
      <x:c r="A2" s="20" t="n">
        <x:v>1</x:v>
      </x:c>
      <x:c r="B2" s="20" t="str">
        <x:v>AlphaGenome</x:v>
      </x:c>
      <x:c r="C2" s="22" t="str">
        <x:v>9变异 × 11原始输出</x:v>
      </x:c>
      <x:c r="D2" s="20" t="n">
        <x:v>9</x:v>
      </x:c>
      <x:c r="E2" s="22" t="str">
        <x:v>bash server_bundle/run_alphagenome.sh</x:v>
      </x:c>
      <x:c r="F2" s="22" t="str">
        <x:v>9/9成功；99个原始输出状态齐全</x:v>
      </x:c>
    </x:row>
    <x:row r="3">
      <x:c r="A3" s="20" t="n">
        <x:v>2</x:v>
      </x:c>
      <x:c r="B3" s="20" t="str">
        <x:v>Boltz-2</x:v>
      </x:c>
      <x:c r="C3" s="22" t="str">
        <x:v>5错义；按功能构建展开</x:v>
      </x:c>
      <x:c r="D3" s="20" t="n">
        <x:v>15</x:v>
      </x:c>
      <x:c r="E3" s="22" t="str">
        <x:v>GPUS=4 bash server_bundle/run_boltz.sh</x:v>
      </x:c>
      <x:c r="F3" s="22" t="str">
        <x:v>15/15；7个WT基线</x:v>
      </x:c>
    </x:row>
    <x:row r="4">
      <x:c r="A4" s="20" t="n">
        <x:v>3</x:v>
      </x:c>
      <x:c r="B4" s="20" t="str">
        <x:v>MD</x:v>
      </x:c>
      <x:c r="C4" s="22" t="str">
        <x:v>P1413L + 匹配WT</x:v>
      </x:c>
      <x:c r="D4" s="20" t="n">
        <x:v>2</x:v>
      </x:c>
      <x:c r="E4" s="22" t="str">
        <x:v>FOLDX=/path/to/foldx bash server_bundle/run_md_p1413l.sh</x:v>
      </x:c>
      <x:c r="F4" s="22" t="str">
        <x:v>2条轨迹完成QC，各50 ns</x:v>
      </x:c>
    </x:row>
    <x:row r="5">
      <x:c r="A5" s="21" t="n">
        <x:v>4</x:v>
      </x:c>
      <x:c r="B5" s="21" t="str">
        <x:v>Agent</x:v>
      </x:c>
      <x:c r="C5" s="23" t="str">
        <x:v>经校验的计算证据</x:v>
      </x:c>
      <x:c r="D5" s="21" t="n">
        <x:v>10</x:v>
      </x:c>
      <x:c r="E5" s="23" t="str">
        <x:v>bash server_bundle/ingest_and_test_agent.sh</x:v>
      </x:c>
      <x:c r="F5" s="23" t="str">
        <x:v>10例均输出；缺失保持pending</x:v>
      </x:c>
    </x:row>
  </x:sheetData>
  <x:pageMargins left="0.7" right="0.7" top="0.75" bottom="0.75" header="0.3" footer="0.3"/>
  <x:tableParts count="1">
    <x:tablePart xmlns:r="http://schemas.openxmlformats.org/officeDocument/2006/relationships" r:id="R2ba74fb6c96742c3"/>
  </x:tableParts>
</x:worksheet>
</file>