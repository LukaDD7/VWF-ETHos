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3bd3469b4247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4d308a923104c41"/>
    <x:sheet xmlns:r="http://schemas.openxmlformats.org/officeDocument/2006/relationships" name="1.基因前" sheetId="2" r:id="Rfb136436cff44d34"/>
    <x:sheet xmlns:r="http://schemas.openxmlformats.org/officeDocument/2006/relationships" name="2.基因后" sheetId="3" r:id="R9a1f0768bc804c4a"/>
    <x:sheet xmlns:r="http://schemas.openxmlformats.org/officeDocument/2006/relationships" name="3.临床上下文" sheetId="4" r:id="R28ec4a7c9bfe493e"/>
    <x:sheet xmlns:r="http://schemas.openxmlformats.org/officeDocument/2006/relationships" name="4.Panel请求" sheetId="5" r:id="R47723482bf37465d"/>
    <x:sheet xmlns:r="http://schemas.openxmlformats.org/officeDocument/2006/relationships" name="5.Agent结果" sheetId="6" r:id="R73cd72eb2c2b4997"/>
    <x:sheet xmlns:r="http://schemas.openxmlformats.org/officeDocument/2006/relationships" name="6.证据明细" sheetId="7" r:id="Rf2a045068ea4457a"/>
    <x:sheet xmlns:r="http://schemas.openxmlformats.org/officeDocument/2006/relationships" name="7.QC审计" sheetId="8" r:id="R76a60130141f4da0"/>
    <x:sheet xmlns:r="http://schemas.openxmlformats.org/officeDocument/2006/relationships" name="8.服务器运行" sheetId="9" r:id="R770fedb006ac4b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0F766E"/>
      </x:patternFill>
    </x:fill>
    <x:fill>
      <x:patternFill patternType="solid">
        <x:fgColor rgb="FFE8F0F7"/>
      </x:patternFill>
    </x:fill>
    <x:fill>
      <x:patternFill patternType="solid">
        <x:fgColor rgb="FFF8FAFC"/>
      </x:patternFill>
    </x:fill>
  </x:fills>
  <x:borders count="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b/>
        <x:color rgb="FF065F46"/>
      </x:font>
      <x:fill>
        <x:patternFill patternType="solid">
          <x:bgColor rgb="FFDDF3F0"/>
        </x:patternFill>
      </x:fill>
    </x:dxf>
    <x:dxf>
      <x:font>
        <x:b/>
        <x:color rgb="FF065F46"/>
      </x:font>
      <x:fill>
        <x:patternFill patternType="solid">
          <x:bgColor rgb="FFDDF3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8e1eaa18e54e6b" /><Relationship Type="http://schemas.openxmlformats.org/officeDocument/2006/relationships/theme" Target="/xl/theme/theme1.xml" Id="R8ea90ff4f4ee4450" /><Relationship Type="http://schemas.microsoft.com/office/2022/11/relationships/FeaturePropertyBag" Target="/xl/featurePropertyBag/featurePropertyBag.xml" Id="Rffc484464ba54de7" /><Relationship Type="http://schemas.openxmlformats.org/officeDocument/2006/relationships/sharedStrings" Target="/xl/sharedStrings.xml" Id="R5646d3242328444a" /><Relationship Type="http://schemas.openxmlformats.org/officeDocument/2006/relationships/worksheet" Target="/xl/worksheets/sheet1.xml" Id="Re4d308a923104c41" /><Relationship Type="http://schemas.openxmlformats.org/officeDocument/2006/relationships/worksheet" Target="/xl/worksheets/sheet2.xml" Id="Rfb136436cff44d34" /><Relationship Type="http://schemas.openxmlformats.org/officeDocument/2006/relationships/worksheet" Target="/xl/worksheets/sheet3.xml" Id="R9a1f0768bc804c4a" /><Relationship Type="http://schemas.openxmlformats.org/officeDocument/2006/relationships/worksheet" Target="/xl/worksheets/sheet4.xml" Id="R28ec4a7c9bfe493e" /><Relationship Type="http://schemas.openxmlformats.org/officeDocument/2006/relationships/worksheet" Target="/xl/worksheets/sheet5.xml" Id="R47723482bf37465d" /><Relationship Type="http://schemas.openxmlformats.org/officeDocument/2006/relationships/worksheet" Target="/xl/worksheets/sheet6.xml" Id="R73cd72eb2c2b4997" /><Relationship Type="http://schemas.openxmlformats.org/officeDocument/2006/relationships/worksheet" Target="/xl/worksheets/sheet7.xml" Id="Rf2a045068ea4457a" /><Relationship Type="http://schemas.openxmlformats.org/officeDocument/2006/relationships/worksheet" Target="/xl/worksheets/sheet8.xml" Id="R76a60130141f4da0" /><Relationship Type="http://schemas.openxmlformats.org/officeDocument/2006/relationships/worksheet" Target="/xl/worksheets/sheet9.xml" Id="R770fedb006ac4b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ype2bFirstLevel" displayName="type2bFirstLevel" ref="A1:O7" headerRowCount="1" totalsRowCount="0" totalsRowShown="0">
  <x:tableColumns count="15">
    <x:tableColumn id="1" name="编号"/>
    <x:tableColumn id="2" name="研究病例ID"/>
    <x:tableColumn id="3" name="VWF:Ag"/>
    <x:tableColumn id="4" name="VWF:Act"/>
    <x:tableColumn id="5" name="Act/Ag"/>
    <x:tableColumn id="6" name="FVIII:C"/>
    <x:tableColumn id="7" name="血小板计数"/>
    <x:tableColumn id="8" name="VWF:Ag单位"/>
    <x:tableColumn id="9" name="VWF:Act单位"/>
    <x:tableColumn id="10" name="FVIII:C单位"/>
    <x:tableColumn id="11" name="血小板计数单位"/>
    <x:tableColumn id="12" name="VWF:Ag参考范围"/>
    <x:tableColumn id="13" name="VWF:Act参考范围"/>
    <x:tableColumn id="14" name="FVIII:C参考范围"/>
    <x:tableColumn id="15" name="血小板计数参考范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ype2bGenetics" displayName="type2bGenetics" ref="A1:X8" headerRowCount="1" totalsRowCount="0" totalsRowShown="0">
  <x:tableColumns count="24">
    <x:tableColumn id="1" name="编号"/>
    <x:tableColumn id="2" name="研究病例ID"/>
    <x:tableColumn id="3" name="突变基因"/>
    <x:tableColumn id="4" name="核苷酸改变"/>
    <x:tableColumn id="5" name="氨基酸改变"/>
    <x:tableColumn id="6" name="染色体位置"/>
    <x:tableColumn id="7" name="变异类型"/>
    <x:tableColumn id="8" name="合子状态"/>
    <x:tableColumn id="9" name="报告相位"/>
    <x:tableColumn id="10" name="报告ACMG"/>
    <x:tableColumn id="11" name="归一化基因组版本"/>
    <x:tableColumn id="12" name="hg38染色体"/>
    <x:tableColumn id="13" name="hg38位置"/>
    <x:tableColumn id="14" name="hg38_REF"/>
    <x:tableColumn id="15" name="hg38_ALT"/>
    <x:tableColumn id="16" name="蛋白紧凑表示"/>
    <x:tableColumn id="17" name="AlphaGenome请求状态"/>
    <x:tableColumn id="18" name="Boltz请求状态"/>
    <x:tableColumn id="19" name="坐标QC"/>
    <x:tableColumn id="20" name="归一化来源"/>
    <x:tableColumn id="21" name="报告频率"/>
    <x:tableColumn id="22" name="报告功能预测"/>
    <x:tableColumn id="23" name="变异来源"/>
    <x:tableColumn id="24" name="良性标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ype2bContext" displayName="type2bContext" ref="A1:M7" headerRowCount="1" totalsRowCount="0" totalsRowShown="0">
  <x:tableColumns count="13">
    <x:tableColumn id="1" name="研究病例ID"/>
    <x:tableColumn id="2" name="性别"/>
    <x:tableColumn id="3" name="年龄"/>
    <x:tableColumn id="4" name="病程"/>
    <x:tableColumn id="5" name="主要症状"/>
    <x:tableColumn id="6" name="家族史"/>
    <x:tableColumn id="7" name="ISTH-BAT"/>
    <x:tableColumn id="8" name="高浓度瑞斯托霉素血小板聚集"/>
    <x:tableColumn id="9" name="低浓度瑞斯托霉素血小板聚集"/>
    <x:tableColumn id="10" name="既往治疗"/>
    <x:tableColumn id="11" name="父母表型"/>
    <x:tableColumn id="12" name="共病"/>
    <x:tableColumn id="13" name="解释限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ype2bRequests" displayName="type2bRequests" ref="A1:L8" headerRowCount="1" totalsRowCount="0" totalsRowShown="0">
  <x:tableColumns count="12">
    <x:tableColumn id="1" name="研究病例ID"/>
    <x:tableColumn id="2" name="患者ID"/>
    <x:tableColumn id="3" name="基因"/>
    <x:tableColumn id="4" name="HGVS_c"/>
    <x:tableColumn id="5" name="HGVS_p"/>
    <x:tableColumn id="6" name="AlphaGenome状态"/>
    <x:tableColumn id="7" name="AlphaGenome_GRCh38"/>
    <x:tableColumn id="8" name="Boltz状态"/>
    <x:tableColumn id="9" name="Boltz变异"/>
    <x:tableColumn id="10" name="AlphaGenome原始输出"/>
    <x:tableColumn id="11" name="AlphaGenome细胞选择"/>
    <x:tableColumn id="12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ype2bAgent" displayName="type2bAgent" ref="A1:G7" headerRowCount="1" totalsRowCount="0" totalsRowShown="0">
  <x:tableColumns count="7">
    <x:tableColumn id="1" name="研究病例ID"/>
    <x:tableColumn id="2" name="阶段"/>
    <x:tableColumn id="3" name="Agent状态"/>
    <x:tableColumn id="4" name="AlphaGenome证据"/>
    <x:tableColumn id="5" name="Boltz证据"/>
    <x:tableColumn id="6" name="MD证据"/>
    <x:tableColumn id="7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ype2bEvidence" displayName="type2bEvidence" ref="A1:F2" headerRowCount="1" totalsRowCount="0" totalsRowShown="0">
  <x:tableColumns count="6">
    <x:tableColumn id="1" name="研究病例ID"/>
    <x:tableColumn id="2" name="来源"/>
    <x:tableColumn id="3" name="记录ID"/>
    <x:tableColumn id="4" name="查询"/>
    <x:tableColumn id="5" name="结论"/>
    <x:tableColumn id="6" name="局限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ype2bAudit" displayName="type2bAudit" ref="A1:H8" headerRowCount="1" totalsRowCount="0" totalsRowShown="0">
  <x:tableColumns count="8">
    <x:tableColumn id="1" name="研究病例ID"/>
    <x:tableColumn id="2" name="患者ID"/>
    <x:tableColumn id="3" name="源编号"/>
    <x:tableColumn id="4" name="已删除直接标识"/>
    <x:tableColumn id="5" name="源坐标"/>
    <x:tableColumn id="6" name="HGVS归一化GRCh38"/>
    <x:tableColumn id="7" name="坐标QC"/>
    <x:tableColumn id="8" name="说明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ype2bServer" displayName="type2bServer" ref="A1:F5" headerRowCount="1" totalsRowCount="0" totalsRowShown="0">
  <x:tableColumns count="6">
    <x:tableColumn id="1" name="顺序"/>
    <x:tableColumn id="2" name="模块"/>
    <x:tableColumn id="3" name="输入"/>
    <x:tableColumn id="4" name="任务数"/>
    <x:tableColumn id="5" name="命令"/>
    <x:tableColumn id="6" name="验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737ba57b3f48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c3187a1eb84c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8e3d1278d748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3c7340db4747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5a54b9d58940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1d8c23bee6a47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cad398fc9b4f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eded12265f4f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3" t="str">
        <x:v>VWF Type-2B 6人：Agent + 完整计算面板输入包</x:v>
      </x:c>
      <x:c r="B1" s="3"/>
      <x:c r="C1" s="3"/>
      <x:c r="D1" s="3"/>
      <x:c r="E1" s="3"/>
      <x:c r="F1" s="3"/>
      <x:c r="G1" s="3"/>
      <x:c r="H1" s="3"/>
    </x:row>
    <x:row r="3">
      <x:c r="A3" s="6" t="str">
        <x:v>运行清单</x:v>
      </x:c>
      <x:c r="B3" s="6" t="str">
        <x:v>数量</x:v>
      </x:c>
      <x:c r="D3" s="5" t="str">
        <x:v>关键说明（服务器结果回传前）</x:v>
      </x:c>
      <x:c r="E3" s="5"/>
      <x:c r="F3" s="5"/>
      <x:c r="G3" s="5"/>
      <x:c r="H3" s="5"/>
    </x:row>
    <x:row r="4" ht="38" customHeight="1">
      <x:c r="A4" s="7" t="str">
        <x:v>患者</x:v>
      </x:c>
      <x:c r="B4" s="7" t="n">
        <x:v>6</x:v>
      </x:c>
      <x:c r="D4" s="10" t="str">
        <x:v>1. 已删除姓名、病历号、出生日期和就诊日期；仅保留研究病例ID及分析所需临床字段。</x:v>
      </x:c>
      <x:c r="E4" s="10"/>
      <x:c r="F4" s="10"/>
      <x:c r="G4" s="10"/>
      <x:c r="H4" s="10"/>
    </x:row>
    <x:row r="5" ht="38" customHeight="1">
      <x:c r="A5" s="7" t="str">
        <x:v>变异记录</x:v>
      </x:c>
      <x:c r="B5" s="7" t="n">
        <x:v>7</x:v>
      </x:c>
      <x:c r="D5" s="13" t="str">
        <x:v>2. 患者5有A1461D和良性对照D2449N两条记录；V1316M见于两人，蛋白任务去重计算一次后回填两人。</x:v>
      </x:c>
      <x:c r="E5" s="13"/>
      <x:c r="F5" s="13"/>
      <x:c r="G5" s="13"/>
      <x:c r="H5" s="13"/>
    </x:row>
    <x:row r="6" ht="38" customHeight="1">
      <x:c r="A6" s="7" t="str">
        <x:v>AlphaGenome请求</x:v>
      </x:c>
      <x:c r="B6" s="7" t="n">
        <x:v>7</x:v>
      </x:c>
      <x:c r="D6" s="10" t="str">
        <x:v>3. AlphaGenome 7个坐标请求均使用GRCh38、11类原始输出和完整推荐 scorer 视图。</x:v>
      </x:c>
      <x:c r="E6" s="10"/>
      <x:c r="F6" s="10"/>
      <x:c r="G6" s="10"/>
      <x:c r="H6" s="10"/>
    </x:row>
    <x:row r="7" ht="38" customHeight="1">
      <x:c r="A7" s="7" t="str">
        <x:v>Boltz任务</x:v>
      </x:c>
      <x:c r="B7" s="7" t="n">
        <x:v>20</x:v>
      </x:c>
      <x:c r="D7" s="13" t="str">
        <x:v>4. Boltz 为16个变异构建 + 4个同构建WT基线；A1的5个变异进入匹配WT的50 ns MD，C3良性对照不做A1 MD。</x:v>
      </x:c>
      <x:c r="E7" s="13"/>
      <x:c r="F7" s="13"/>
      <x:c r="G7" s="13"/>
      <x:c r="H7" s="13"/>
    </x:row>
    <x:row r="8">
      <x:c r="A8" s="7" t="str">
        <x:v>MD任务</x:v>
      </x:c>
      <x:c r="B8" s="7" t="str">
        <x:v>1 WT + 5 A1变异</x:v>
      </x:c>
    </x:row>
  </x:sheetData>
  <x:mergeCells>
    <x:mergeCell ref="A1:H1"/>
    <x:mergeCell ref="D3:H3"/>
    <x:mergeCell ref="D4:H4"/>
    <x:mergeCell ref="D5:H5"/>
    <x:mergeCell ref="D6:H6"/>
    <x:mergeCell ref="D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17" hidden="0" customWidth="1"/>
    <x:col min="4" max="4" width="19" hidden="0" customWidth="1"/>
    <x:col min="5" max="5" width="17" hidden="0" customWidth="1"/>
    <x:col min="6" max="6" width="19" hidden="0" customWidth="1"/>
    <x:col min="7" max="7" width="15" hidden="0" customWidth="1"/>
    <x:col min="8" max="8" width="21" hidden="0" customWidth="1"/>
    <x:col min="9" max="9" width="23" hidden="0" customWidth="1"/>
    <x:col min="10" max="10" width="23" hidden="0" customWidth="1"/>
    <x:col min="11" max="11" width="19" hidden="0" customWidth="1"/>
    <x:col min="12" max="12" width="45" hidden="0" customWidth="1"/>
    <x:col min="13" max="13" width="45" hidden="0" customWidth="1"/>
    <x:col min="14" max="14" width="27" hidden="0" customWidth="1"/>
    <x:col min="15" max="15" width="23" hidden="0" customWidth="1"/>
  </x:cols>
  <x:sheetData>
    <x:row r="1" ht="38" customHeight="1">
      <x:c r="A1" s="19" t="str">
        <x:v>编号</x:v>
      </x:c>
      <x:c r="B1" s="19" t="str">
        <x:v>研究病例ID</x:v>
      </x:c>
      <x:c r="C1" s="19" t="str">
        <x:v>VWF:Ag</x:v>
      </x:c>
      <x:c r="D1" s="19" t="str">
        <x:v>VWF:Act</x:v>
      </x:c>
      <x:c r="E1" s="19" t="str">
        <x:v>Act/Ag</x:v>
      </x:c>
      <x:c r="F1" s="19" t="str">
        <x:v>FVIII:C</x:v>
      </x:c>
      <x:c r="G1" s="19" t="str">
        <x:v>血小板计数</x:v>
      </x:c>
      <x:c r="H1" s="19" t="str">
        <x:v>VWF:Ag单位</x:v>
      </x:c>
      <x:c r="I1" s="19" t="str">
        <x:v>VWF:Act单位</x:v>
      </x:c>
      <x:c r="J1" s="19" t="str">
        <x:v>FVIII:C单位</x:v>
      </x:c>
      <x:c r="K1" s="19" t="str">
        <x:v>血小板计数单位</x:v>
      </x:c>
      <x:c r="L1" s="19" t="str">
        <x:v>VWF:Ag参考范围</x:v>
      </x:c>
      <x:c r="M1" s="19" t="str">
        <x:v>VWF:Act参考范围</x:v>
      </x:c>
      <x:c r="N1" s="19" t="str">
        <x:v>FVIII:C参考范围</x:v>
      </x:c>
      <x:c r="O1" s="19" t="str">
        <x:v>血小板计数参考范围</x:v>
      </x:c>
    </x:row>
    <x:row r="2">
      <x:c r="A2" s="20" t="n">
        <x:v>1</x:v>
      </x:c>
      <x:c r="B2" s="20" t="str">
        <x:v>CASE_T2B_001</x:v>
      </x:c>
      <x:c r="C2" s="24" t="n">
        <x:v>76</x:v>
      </x:c>
      <x:c r="D2" s="24" t="n">
        <x:v>35.7</x:v>
      </x:c>
      <x:c r="E2" s="24" t="n">
        <x:f>IFERROR(D2/C2,"")</x:f>
        <x:v>0.4697368421052632</x:v>
      </x:c>
      <x:c r="F2" s="24" t="n">
        <x:v>50.7</x:v>
      </x:c>
      <x:c r="G2" s="24" t="n">
        <x:v>94</x:v>
      </x:c>
      <x:c r="H2" s="20" t="str">
        <x:v>%</x:v>
      </x:c>
      <x:c r="I2" s="20" t="str">
        <x:v>%</x:v>
      </x:c>
      <x:c r="J2" s="20" t="str">
        <x:v>%</x:v>
      </x:c>
      <x:c r="K2" s="20" t="str">
        <x:v>10^9/L</x:v>
      </x:c>
      <x:c r="L2" s="22" t="str">
        <x:v>O型42.0-140.8%；非O型66.1-79.9%（来源表）</x:v>
      </x:c>
      <x:c r="M2" s="22" t="str">
        <x:v>O型40.3-125.9%；非O型48.8-163.4%（来源表）</x:v>
      </x:c>
      <x:c r="N2" s="20" t="str">
        <x:v>50-150%</x:v>
      </x:c>
      <x:c r="O2" s="20" t="str">
        <x:v>来源表未提供</x:v>
      </x:c>
    </x:row>
    <x:row r="3">
      <x:c r="A3" s="20" t="n">
        <x:v>2</x:v>
      </x:c>
      <x:c r="B3" s="20" t="str">
        <x:v>CASE_T2B_002</x:v>
      </x:c>
      <x:c r="C3" s="24" t="n">
        <x:v>119.4</x:v>
      </x:c>
      <x:c r="D3" s="24" t="n">
        <x:v>29</x:v>
      </x:c>
      <x:c r="E3" s="24" t="n">
        <x:f>IFERROR(D3/C3,"")</x:f>
        <x:v>0.24288107202680065</x:v>
      </x:c>
      <x:c r="F3" s="24" t="n">
        <x:v>39</x:v>
      </x:c>
      <x:c r="G3" s="24" t="n">
        <x:v>15</x:v>
      </x:c>
      <x:c r="H3" s="20" t="str">
        <x:v>%</x:v>
      </x:c>
      <x:c r="I3" s="20" t="str">
        <x:v>%</x:v>
      </x:c>
      <x:c r="J3" s="20" t="str">
        <x:v>%</x:v>
      </x:c>
      <x:c r="K3" s="20" t="str">
        <x:v>10^9/L</x:v>
      </x:c>
      <x:c r="L3" s="22" t="str">
        <x:v>O型42.0-140.8%；非O型66.1-79.9%（来源表）</x:v>
      </x:c>
      <x:c r="M3" s="22" t="str">
        <x:v>O型40.3-125.9%；非O型48.8-163.4%（来源表）</x:v>
      </x:c>
      <x:c r="N3" s="20" t="str">
        <x:v>50-150%</x:v>
      </x:c>
      <x:c r="O3" s="20" t="str">
        <x:v>来源表未提供</x:v>
      </x:c>
    </x:row>
    <x:row r="4">
      <x:c r="A4" s="20" t="n">
        <x:v>3</x:v>
      </x:c>
      <x:c r="B4" s="20" t="str">
        <x:v>CASE_T2B_003</x:v>
      </x:c>
      <x:c r="C4" s="24" t="n">
        <x:v>40.2</x:v>
      </x:c>
      <x:c r="D4" s="24" t="n">
        <x:v>14.6</x:v>
      </x:c>
      <x:c r="E4" s="24" t="n">
        <x:f>IFERROR(D4/C4,"")</x:f>
        <x:v>0.36318407960199</x:v>
      </x:c>
      <x:c r="F4" s="24" t="n">
        <x:v>128.91</x:v>
      </x:c>
      <x:c r="G4" s="24" t="n">
        <x:v>73</x:v>
      </x:c>
      <x:c r="H4" s="20" t="str">
        <x:v>%</x:v>
      </x:c>
      <x:c r="I4" s="20" t="str">
        <x:v>%</x:v>
      </x:c>
      <x:c r="J4" s="20" t="str">
        <x:v>%</x:v>
      </x:c>
      <x:c r="K4" s="20" t="str">
        <x:v>10^9/L</x:v>
      </x:c>
      <x:c r="L4" s="22" t="str">
        <x:v>O型42.0-140.8%；非O型66.1-79.9%（来源表）</x:v>
      </x:c>
      <x:c r="M4" s="22" t="str">
        <x:v>O型40.3-125.9%；非O型48.8-163.4%（来源表）</x:v>
      </x:c>
      <x:c r="N4" s="20" t="str">
        <x:v>50-150%</x:v>
      </x:c>
      <x:c r="O4" s="20" t="str">
        <x:v>来源表未提供</x:v>
      </x:c>
    </x:row>
    <x:row r="5">
      <x:c r="A5" s="20" t="n">
        <x:v>4</x:v>
      </x:c>
      <x:c r="B5" s="20" t="str">
        <x:v>CASE_T2B_004</x:v>
      </x:c>
      <x:c r="C5" s="24" t="n">
        <x:v>24.2</x:v>
      </x:c>
      <x:c r="D5" s="24" t="n">
        <x:v>15</x:v>
      </x:c>
      <x:c r="E5" s="24" t="n">
        <x:f>IFERROR(D5/C5,"")</x:f>
        <x:v>0.6198347107438017</x:v>
      </x:c>
      <x:c r="F5" s="24" t="n">
        <x:v>28.4</x:v>
      </x:c>
      <x:c r="G5" s="24" t="n">
        <x:v>389</x:v>
      </x:c>
      <x:c r="H5" s="20" t="str">
        <x:v>%</x:v>
      </x:c>
      <x:c r="I5" s="20" t="str">
        <x:v>%</x:v>
      </x:c>
      <x:c r="J5" s="20" t="str">
        <x:v>%</x:v>
      </x:c>
      <x:c r="K5" s="20" t="str">
        <x:v>10^9/L</x:v>
      </x:c>
      <x:c r="L5" s="22" t="str">
        <x:v>O型42.0-140.8%；非O型66.1-79.9%（来源表）</x:v>
      </x:c>
      <x:c r="M5" s="22" t="str">
        <x:v>O型40.3-125.9%；非O型48.8-163.4%（来源表）</x:v>
      </x:c>
      <x:c r="N5" s="20" t="str">
        <x:v>50-150%</x:v>
      </x:c>
      <x:c r="O5" s="20" t="str">
        <x:v>来源表未提供</x:v>
      </x:c>
    </x:row>
    <x:row r="6">
      <x:c r="A6" s="20" t="n">
        <x:v>5</x:v>
      </x:c>
      <x:c r="B6" s="20" t="str">
        <x:v>CASE_T2B_005</x:v>
      </x:c>
      <x:c r="C6" s="24" t="n">
        <x:v>57.6</x:v>
      </x:c>
      <x:c r="D6" s="24" t="n">
        <x:v>12.8</x:v>
      </x:c>
      <x:c r="E6" s="24" t="n">
        <x:f>IFERROR(D6/C6,"")</x:f>
        <x:v>0.22222222222222224</x:v>
      </x:c>
      <x:c r="F6" s="24" t="n">
        <x:v>41</x:v>
      </x:c>
      <x:c r="G6" s="24" t="n">
        <x:v>35</x:v>
      </x:c>
      <x:c r="H6" s="20" t="str">
        <x:v>%</x:v>
      </x:c>
      <x:c r="I6" s="20" t="str">
        <x:v>%</x:v>
      </x:c>
      <x:c r="J6" s="20" t="str">
        <x:v>%</x:v>
      </x:c>
      <x:c r="K6" s="20" t="str">
        <x:v>10^9/L</x:v>
      </x:c>
      <x:c r="L6" s="22" t="str">
        <x:v>O型42.0-140.8%；非O型66.1-79.9%（来源表）</x:v>
      </x:c>
      <x:c r="M6" s="22" t="str">
        <x:v>O型40.3-125.9%；非O型48.8-163.4%（来源表）</x:v>
      </x:c>
      <x:c r="N6" s="20" t="str">
        <x:v>50-150%</x:v>
      </x:c>
      <x:c r="O6" s="20" t="str">
        <x:v>来源表未提供</x:v>
      </x:c>
    </x:row>
    <x:row r="7">
      <x:c r="A7" s="21" t="n">
        <x:v>6</x:v>
      </x:c>
      <x:c r="B7" s="21" t="str">
        <x:v>CASE_T2B_006</x:v>
      </x:c>
      <x:c r="C7" s="25" t="n">
        <x:v>44.9</x:v>
      </x:c>
      <x:c r="D7" s="25" t="n">
        <x:v>33.5</x:v>
      </x:c>
      <x:c r="E7" s="25" t="n">
        <x:f>IFERROR(D7/C7,"")</x:f>
        <x:v>0.7461024498886415</x:v>
      </x:c>
      <x:c r="F7" s="25" t="n">
        <x:v>58.5</x:v>
      </x:c>
      <x:c r="G7" s="25" t="n">
        <x:v>299</x:v>
      </x:c>
      <x:c r="H7" s="21" t="str">
        <x:v>%</x:v>
      </x:c>
      <x:c r="I7" s="21" t="str">
        <x:v>%</x:v>
      </x:c>
      <x:c r="J7" s="21" t="str">
        <x:v>%</x:v>
      </x:c>
      <x:c r="K7" s="21" t="str">
        <x:v>10^9/L</x:v>
      </x:c>
      <x:c r="L7" s="23" t="str">
        <x:v>O型42.0-140.8%；非O型66.1-79.9%（来源表）</x:v>
      </x:c>
      <x:c r="M7" s="23" t="str">
        <x:v>O型40.3-125.9%；非O型48.8-163.4%（来源表）</x:v>
      </x:c>
      <x:c r="N7" s="21" t="str">
        <x:v>50-150%</x:v>
      </x:c>
      <x:c r="O7" s="21" t="str">
        <x:v>来源表未提供</x:v>
      </x:c>
    </x:row>
  </x:sheetData>
  <x:pageMargins left="0.7" right="0.7" top="0.75" bottom="0.75" header="0.3" footer="0.3"/>
  <x:tableParts count="1">
    <x:tablePart xmlns:r="http://schemas.openxmlformats.org/officeDocument/2006/relationships" r:id="R1b737ba57b3f48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13" hidden="0" customWidth="1"/>
    <x:col min="4" max="4" width="15" hidden="0" customWidth="1"/>
    <x:col min="5" max="5" width="15" hidden="0" customWidth="1"/>
    <x:col min="6" max="6" width="15" hidden="0" customWidth="1"/>
    <x:col min="7" max="7" width="13" hidden="0" customWidth="1"/>
    <x:col min="8" max="8" width="13" hidden="0" customWidth="1"/>
    <x:col min="9" max="9" width="13" hidden="0" customWidth="1"/>
    <x:col min="10" max="10" width="17" hidden="0" customWidth="1"/>
    <x:col min="11" max="11" width="21" hidden="0" customWidth="1"/>
    <x:col min="12" max="12" width="19" hidden="0" customWidth="1"/>
    <x:col min="13" max="13" width="17" hidden="0" customWidth="1"/>
    <x:col min="14" max="14" width="21" hidden="0" customWidth="1"/>
    <x:col min="15" max="15" width="21" hidden="0" customWidth="1"/>
    <x:col min="16" max="16" width="17" hidden="0" customWidth="1"/>
    <x:col min="17" max="17" width="28" hidden="0" customWidth="1"/>
    <x:col min="18" max="18" width="23" hidden="0" customWidth="1"/>
    <x:col min="19" max="19" width="45" hidden="0" customWidth="1"/>
    <x:col min="20" max="20" width="45" hidden="0" customWidth="1"/>
    <x:col min="21" max="21" width="13" hidden="0" customWidth="1"/>
    <x:col min="22" max="22" width="17" hidden="0" customWidth="1"/>
    <x:col min="23" max="23" width="13" hidden="0" customWidth="1"/>
    <x:col min="24" max="24" width="13" hidden="0" customWidth="1"/>
  </x:cols>
  <x:sheetData>
    <x:row r="1" ht="38" customHeight="1">
      <x:c r="A1" s="19" t="str">
        <x:v>编号</x:v>
      </x:c>
      <x:c r="B1" s="19" t="str">
        <x:v>研究病例ID</x:v>
      </x:c>
      <x:c r="C1" s="19" t="str">
        <x:v>突变基因</x:v>
      </x:c>
      <x:c r="D1" s="19" t="str">
        <x:v>核苷酸改变</x:v>
      </x:c>
      <x:c r="E1" s="19" t="str">
        <x:v>氨基酸改变</x:v>
      </x:c>
      <x:c r="F1" s="19" t="str">
        <x:v>染色体位置</x:v>
      </x:c>
      <x:c r="G1" s="19" t="str">
        <x:v>变异类型</x:v>
      </x:c>
      <x:c r="H1" s="19" t="str">
        <x:v>合子状态</x:v>
      </x:c>
      <x:c r="I1" s="19" t="str">
        <x:v>报告相位</x:v>
      </x:c>
      <x:c r="J1" s="19" t="str">
        <x:v>报告ACMG</x:v>
      </x:c>
      <x:c r="K1" s="19" t="str">
        <x:v>归一化基因组版本</x:v>
      </x:c>
      <x:c r="L1" s="19" t="str">
        <x:v>hg38染色体</x:v>
      </x:c>
      <x:c r="M1" s="19" t="str">
        <x:v>hg38位置</x:v>
      </x:c>
      <x:c r="N1" s="19" t="str">
        <x:v>hg38_REF</x:v>
      </x:c>
      <x:c r="O1" s="19" t="str">
        <x:v>hg38_ALT</x:v>
      </x:c>
      <x:c r="P1" s="19" t="str">
        <x:v>蛋白紧凑表示</x:v>
      </x:c>
      <x:c r="Q1" s="19" t="str">
        <x:v>AlphaGenome请求状态</x:v>
      </x:c>
      <x:c r="R1" s="19" t="str">
        <x:v>Boltz请求状态</x:v>
      </x:c>
      <x:c r="S1" s="19" t="str">
        <x:v>坐标QC</x:v>
      </x:c>
      <x:c r="T1" s="19" t="str">
        <x:v>归一化来源</x:v>
      </x:c>
      <x:c r="U1" s="19" t="str">
        <x:v>报告频率</x:v>
      </x:c>
      <x:c r="V1" s="19" t="str">
        <x:v>报告功能预测</x:v>
      </x:c>
      <x:c r="W1" s="19" t="str">
        <x:v>变异来源</x:v>
      </x:c>
      <x:c r="X1" s="19" t="str">
        <x:v>良性标记</x:v>
      </x:c>
    </x:row>
    <x:row r="2">
      <x:c r="A2" s="20" t="n">
        <x:v>1</x:v>
      </x:c>
      <x:c r="B2" s="20" t="str">
        <x:v>CASE_T2B_001</x:v>
      </x:c>
      <x:c r="C2" s="20" t="str">
        <x:v>VWF</x:v>
      </x:c>
      <x:c r="D2" s="20" t="str">
        <x:v>c.3946G&gt;A</x:v>
      </x:c>
      <x:c r="E2" s="20" t="str">
        <x:v>p.Val1316Met</x:v>
      </x:c>
      <x:c r="F2" s="20" t="str">
        <x:v>chr12:6128638</x:v>
      </x:c>
      <x:c r="G2" s="20" t="str">
        <x:v>错义</x:v>
      </x:c>
      <x:c r="H2" s="20" t="str">
        <x:v>杂合</x:v>
      </x:c>
      <x:c r="I2" s="20" t="str">
        <x:v>NA</x:v>
      </x:c>
      <x:c r="J2" s="20" t="str">
        <x:v>Likely Pathogenic</x:v>
      </x:c>
      <x:c r="K2" s="20" t="str">
        <x:v>GRCh38</x:v>
      </x:c>
      <x:c r="L2" s="20" t="str">
        <x:v>chr12</x:v>
      </x:c>
      <x:c r="M2" s="20" t="n">
        <x:v>6019472</x:v>
      </x:c>
      <x:c r="N2" s="20" t="str">
        <x:v>C</x:v>
      </x:c>
      <x:c r="O2" s="20" t="str">
        <x:v>T</x:v>
      </x:c>
      <x:c r="P2" s="20" t="str">
        <x:v>V1316M</x:v>
      </x:c>
      <x:c r="Q2" s="20" t="str">
        <x:v>READY</x:v>
      </x:c>
      <x:c r="R2" s="20" t="str">
        <x:v>READY</x:v>
      </x:c>
      <x:c r="S2" s="22" t="str">
        <x:v>SOURCE_TO_GRCH38_NORMALIZED</x:v>
      </x:c>
      <x:c r="T2" s="22" t="str">
        <x:v>Ensembl VEP NM_000552.5 / GRCh38</x:v>
      </x:c>
      <x:c r="U2" s="20" t="n">
        <x:v>0.00003643</x:v>
      </x:c>
      <x:c r="V2" s="20" t="str">
        <x:v>LD</x:v>
      </x:c>
      <x:c r="W2" s="20" t="str">
        <x:v>0</x:v>
      </x:c>
      <x:c r="X2" s="29" t="b">
        <x:v>0</x:v>
      </x:c>
    </x:row>
    <x:row r="3">
      <x:c r="A3" s="20" t="n">
        <x:v>2</x:v>
      </x:c>
      <x:c r="B3" s="20" t="str">
        <x:v>CASE_T2B_002</x:v>
      </x:c>
      <x:c r="C3" s="20" t="str">
        <x:v>VWF</x:v>
      </x:c>
      <x:c r="D3" s="20" t="str">
        <x:v>c.3946G&gt;A</x:v>
      </x:c>
      <x:c r="E3" s="20" t="str">
        <x:v>p.V1316M</x:v>
      </x:c>
      <x:c r="F3" s="20" t="str">
        <x:v>chr12:6128638</x:v>
      </x:c>
      <x:c r="G3" s="20" t="str">
        <x:v>错义</x:v>
      </x:c>
      <x:c r="H3" s="20" t="str">
        <x:v>杂合</x:v>
      </x:c>
      <x:c r="I3" s="20" t="str">
        <x:v>NA</x:v>
      </x:c>
      <x:c r="J3" s="20" t="str">
        <x:v>Pathogenic</x:v>
      </x:c>
      <x:c r="K3" s="20" t="str">
        <x:v>GRCh38</x:v>
      </x:c>
      <x:c r="L3" s="20" t="str">
        <x:v>chr12</x:v>
      </x:c>
      <x:c r="M3" s="20" t="n">
        <x:v>6019472</x:v>
      </x:c>
      <x:c r="N3" s="20" t="str">
        <x:v>C</x:v>
      </x:c>
      <x:c r="O3" s="20" t="str">
        <x:v>T</x:v>
      </x:c>
      <x:c r="P3" s="20" t="str">
        <x:v>V1316M</x:v>
      </x:c>
      <x:c r="Q3" s="20" t="str">
        <x:v>READY</x:v>
      </x:c>
      <x:c r="R3" s="20" t="str">
        <x:v>READY</x:v>
      </x:c>
      <x:c r="S3" s="22" t="str">
        <x:v>SOURCE_TO_GRCH38_NORMALIZED</x:v>
      </x:c>
      <x:c r="T3" s="22" t="str">
        <x:v>Ensembl VEP NM_000552.5 / GRCh38</x:v>
      </x:c>
      <x:c r="U3" s="20" t="n">
        <x:v>0.00003643</x:v>
      </x:c>
      <x:c r="V3" s="20" t="str">
        <x:v>LD</x:v>
      </x:c>
      <x:c r="W3" s="20" t="str">
        <x:v>0</x:v>
      </x:c>
      <x:c r="X3" s="29" t="b">
        <x:v>0</x:v>
      </x:c>
    </x:row>
    <x:row r="4">
      <x:c r="A4" s="20" t="n">
        <x:v>3</x:v>
      </x:c>
      <x:c r="B4" s="20" t="str">
        <x:v>CASE_T2B_003</x:v>
      </x:c>
      <x:c r="C4" s="20" t="str">
        <x:v>VWF</x:v>
      </x:c>
      <x:c r="D4" s="20" t="str">
        <x:v>c.3929C&gt;T</x:v>
      </x:c>
      <x:c r="E4" s="20" t="str">
        <x:v>p.S1310F</x:v>
      </x:c>
      <x:c r="F4" s="20" t="str">
        <x:v>chr12:6128655</x:v>
      </x:c>
      <x:c r="G4" s="20" t="str">
        <x:v>错义</x:v>
      </x:c>
      <x:c r="H4" s="20" t="str">
        <x:v>杂合</x:v>
      </x:c>
      <x:c r="I4" s="20" t="str">
        <x:v>NA</x:v>
      </x:c>
      <x:c r="J4" s="20" t="str">
        <x:v>Pathogenic</x:v>
      </x:c>
      <x:c r="K4" s="20" t="str">
        <x:v>GRCh38</x:v>
      </x:c>
      <x:c r="L4" s="20" t="str">
        <x:v>chr12</x:v>
      </x:c>
      <x:c r="M4" s="20" t="n">
        <x:v>6019489</x:v>
      </x:c>
      <x:c r="N4" s="20" t="str">
        <x:v>G</x:v>
      </x:c>
      <x:c r="O4" s="20" t="str">
        <x:v>A</x:v>
      </x:c>
      <x:c r="P4" s="20" t="str">
        <x:v>S1310F</x:v>
      </x:c>
      <x:c r="Q4" s="20" t="str">
        <x:v>READY</x:v>
      </x:c>
      <x:c r="R4" s="20" t="str">
        <x:v>READY</x:v>
      </x:c>
      <x:c r="S4" s="22" t="str">
        <x:v>SOURCE_TO_GRCH38_NORMALIZED</x:v>
      </x:c>
      <x:c r="T4" s="22" t="str">
        <x:v>Ensembl VEP NM_000552.5 / GRCh38</x:v>
      </x:c>
      <x:c r="U4" s="20" t="n">
        <x:v>0</x:v>
      </x:c>
      <x:c r="V4" s="20" t="str">
        <x:v>D</x:v>
      </x:c>
      <x:c r="W4" s="20" t="str">
        <x:v>2</x:v>
      </x:c>
      <x:c r="X4" s="29" t="b">
        <x:v>0</x:v>
      </x:c>
    </x:row>
    <x:row r="5">
      <x:c r="A5" s="20" t="n">
        <x:v>4</x:v>
      </x:c>
      <x:c r="B5" s="20" t="str">
        <x:v>CASE_T2B_004</x:v>
      </x:c>
      <x:c r="C5" s="20" t="str">
        <x:v>VWF</x:v>
      </x:c>
      <x:c r="D5" s="20" t="str">
        <x:v>c.3922C&gt;T</x:v>
      </x:c>
      <x:c r="E5" s="20" t="str">
        <x:v>p.R1308C</x:v>
      </x:c>
      <x:c r="F5" s="20" t="str">
        <x:v>chr12-6128662</x:v>
      </x:c>
      <x:c r="G5" s="20" t="str">
        <x:v>错义</x:v>
      </x:c>
      <x:c r="H5" s="20" t="str">
        <x:v>杂合</x:v>
      </x:c>
      <x:c r="I5" s="20" t="str">
        <x:v>NA</x:v>
      </x:c>
      <x:c r="J5" s="20" t="str">
        <x:v>LikelyPathogenic</x:v>
      </x:c>
      <x:c r="K5" s="20" t="str">
        <x:v>GRCh38</x:v>
      </x:c>
      <x:c r="L5" s="20" t="str">
        <x:v>chr12</x:v>
      </x:c>
      <x:c r="M5" s="20" t="n">
        <x:v>6019496</x:v>
      </x:c>
      <x:c r="N5" s="20" t="str">
        <x:v>G</x:v>
      </x:c>
      <x:c r="O5" s="20" t="str">
        <x:v>A</x:v>
      </x:c>
      <x:c r="P5" s="20" t="str">
        <x:v>R1308C</x:v>
      </x:c>
      <x:c r="Q5" s="20" t="str">
        <x:v>READY</x:v>
      </x:c>
      <x:c r="R5" s="20" t="str">
        <x:v>READY</x:v>
      </x:c>
      <x:c r="S5" s="22" t="str">
        <x:v>SOURCE_TO_GRCH38_NORMALIZED</x:v>
      </x:c>
      <x:c r="T5" s="22" t="str">
        <x:v>Ensembl VEP NM_000552.5 / GRCh38</x:v>
      </x:c>
      <x:c r="U5" s="20" t="n">
        <x:v>0.00001822</x:v>
      </x:c>
      <x:c r="V5" s="20" t="str">
        <x:v>D</x:v>
      </x:c>
      <x:c r="W5" s="20" t="str">
        <x:v>2</x:v>
      </x:c>
      <x:c r="X5" s="29" t="b">
        <x:v>0</x:v>
      </x:c>
    </x:row>
    <x:row r="6">
      <x:c r="A6" s="20" t="n">
        <x:v>5</x:v>
      </x:c>
      <x:c r="B6" s="20" t="str">
        <x:v>CASE_T2B_005_VARIANT_1</x:v>
      </x:c>
      <x:c r="C6" s="20" t="str">
        <x:v>VWF</x:v>
      </x:c>
      <x:c r="D6" s="20" t="str">
        <x:v>c.4382C&gt;A</x:v>
      </x:c>
      <x:c r="E6" s="20" t="str">
        <x:v>p.A1461D</x:v>
      </x:c>
      <x:c r="F6" s="20" t="str">
        <x:v>chr12:6128202</x:v>
      </x:c>
      <x:c r="G6" s="20" t="str">
        <x:v>错义</x:v>
      </x:c>
      <x:c r="H6" s="20" t="str">
        <x:v>杂合</x:v>
      </x:c>
      <x:c r="I6" s="20" t="str">
        <x:v>NA</x:v>
      </x:c>
      <x:c r="J6" s="20" t="str">
        <x:v>Pathogenic</x:v>
      </x:c>
      <x:c r="K6" s="20" t="str">
        <x:v>GRCh38</x:v>
      </x:c>
      <x:c r="L6" s="20" t="str">
        <x:v>chr12</x:v>
      </x:c>
      <x:c r="M6" s="20" t="n">
        <x:v>6019036</x:v>
      </x:c>
      <x:c r="N6" s="20" t="str">
        <x:v>G</x:v>
      </x:c>
      <x:c r="O6" s="20" t="str">
        <x:v>T</x:v>
      </x:c>
      <x:c r="P6" s="20" t="str">
        <x:v>A1461D</x:v>
      </x:c>
      <x:c r="Q6" s="20" t="str">
        <x:v>READY</x:v>
      </x:c>
      <x:c r="R6" s="20" t="str">
        <x:v>READY</x:v>
      </x:c>
      <x:c r="S6" s="22" t="str">
        <x:v>SOURCE_TO_GRCH38_NORMALIZED</x:v>
      </x:c>
      <x:c r="T6" s="22" t="str">
        <x:v>Ensembl VEP NM_000552.5 / GRCh38</x:v>
      </x:c>
      <x:c r="U6" s="20" t="n">
        <x:v>0.00000364</x:v>
      </x:c>
      <x:c r="V6" s="20" t="str">
        <x:v>LD</x:v>
      </x:c>
      <x:c r="W6" s="20" t="str">
        <x:v>0</x:v>
      </x:c>
      <x:c r="X6" s="29" t="b">
        <x:v>0</x:v>
      </x:c>
    </x:row>
    <x:row r="7">
      <x:c r="A7" s="20" t="n">
        <x:v>5</x:v>
      </x:c>
      <x:c r="B7" s="20" t="str">
        <x:v>CASE_T2B_005_VARIANT_2_BENIGN</x:v>
      </x:c>
      <x:c r="C7" s="20" t="str">
        <x:v>VWF</x:v>
      </x:c>
      <x:c r="D7" s="20" t="str">
        <x:v>c.7345G&gt;A</x:v>
      </x:c>
      <x:c r="E7" s="20" t="str">
        <x:v>p.D2449N</x:v>
      </x:c>
      <x:c r="F7" s="20" t="str">
        <x:v>chr12:6085369</x:v>
      </x:c>
      <x:c r="G7" s="20" t="str">
        <x:v>错义</x:v>
      </x:c>
      <x:c r="H7" s="20" t="str">
        <x:v>杂合</x:v>
      </x:c>
      <x:c r="I7" s="20" t="str">
        <x:v>NA</x:v>
      </x:c>
      <x:c r="J7" s="20" t="str">
        <x:v>Uncertain</x:v>
      </x:c>
      <x:c r="K7" s="20" t="str">
        <x:v>GRCh38</x:v>
      </x:c>
      <x:c r="L7" s="20" t="str">
        <x:v>chr12</x:v>
      </x:c>
      <x:c r="M7" s="20" t="n">
        <x:v>5976203</x:v>
      </x:c>
      <x:c r="N7" s="20" t="str">
        <x:v>C</x:v>
      </x:c>
      <x:c r="O7" s="20" t="str">
        <x:v>T</x:v>
      </x:c>
      <x:c r="P7" s="20" t="str">
        <x:v>D2449N</x:v>
      </x:c>
      <x:c r="Q7" s="20" t="str">
        <x:v>READY</x:v>
      </x:c>
      <x:c r="R7" s="20" t="str">
        <x:v>READY</x:v>
      </x:c>
      <x:c r="S7" s="22" t="str">
        <x:v>SOURCE_TO_GRCH38_NORMALIZED</x:v>
      </x:c>
      <x:c r="T7" s="22" t="str">
        <x:v>Ensembl VEP NM_000552.5 / GRCh38</x:v>
      </x:c>
      <x:c r="U7" s="20" t="n">
        <x:v>0.00005789</x:v>
      </x:c>
      <x:c r="V7" s="20" t="str">
        <x:v>LB</x:v>
      </x:c>
      <x:c r="W7" s="20" t="str">
        <x:v>2</x:v>
      </x:c>
      <x:c r="X7" s="29" t="b">
        <x:v>1</x:v>
      </x:c>
    </x:row>
    <x:row r="8">
      <x:c r="A8" s="21" t="n">
        <x:v>6</x:v>
      </x:c>
      <x:c r="B8" s="21" t="str">
        <x:v>CASE_T2B_006</x:v>
      </x:c>
      <x:c r="C8" s="21" t="str">
        <x:v>VWF</x:v>
      </x:c>
      <x:c r="D8" s="21" t="str">
        <x:v>c.4021C&gt;T</x:v>
      </x:c>
      <x:c r="E8" s="21" t="str">
        <x:v>p.Arg1341Trp</x:v>
      </x:c>
      <x:c r="F8" s="21" t="str">
        <x:v>chr12:6019397</x:v>
      </x:c>
      <x:c r="G8" s="21" t="str">
        <x:v>错义</x:v>
      </x:c>
      <x:c r="H8" s="21" t="str">
        <x:v>杂合</x:v>
      </x:c>
      <x:c r="I8" s="21" t="str">
        <x:v>NA</x:v>
      </x:c>
      <x:c r="J8" s="21" t="str">
        <x:v>Uncertain</x:v>
      </x:c>
      <x:c r="K8" s="21" t="str">
        <x:v>GRCh38</x:v>
      </x:c>
      <x:c r="L8" s="21" t="str">
        <x:v>chr12</x:v>
      </x:c>
      <x:c r="M8" s="21" t="n">
        <x:v>6019397</x:v>
      </x:c>
      <x:c r="N8" s="21" t="str">
        <x:v>G</x:v>
      </x:c>
      <x:c r="O8" s="21" t="str">
        <x:v>A</x:v>
      </x:c>
      <x:c r="P8" s="21" t="str">
        <x:v>R1341W</x:v>
      </x:c>
      <x:c r="Q8" s="21" t="str">
        <x:v>READY</x:v>
      </x:c>
      <x:c r="R8" s="21" t="str">
        <x:v>READY</x:v>
      </x:c>
      <x:c r="S8" s="23" t="str">
        <x:v>SOURCE_ALREADY_GRCH38_MATCHED</x:v>
      </x:c>
      <x:c r="T8" s="23" t="str">
        <x:v>Ensembl VEP NM_000552.5 / GRCh38</x:v>
      </x:c>
      <x:c r="U8" s="21" t="n">
        <x:v>0.000022</x:v>
      </x:c>
      <x:c r="V8" s="21" t="str">
        <x:v>NA</x:v>
      </x:c>
      <x:c r="W8" s="21" t="str">
        <x:v>2</x:v>
      </x:c>
      <x:c r="X8" s="30" t="b">
        <x:v>0</x:v>
      </x:c>
    </x:row>
  </x:sheetData>
  <x:conditionalFormatting sqref="Q2:Q8">
    <x:cfRule type="containsText" dxfId="0" priority="1" operator="containsText" text="READY"/>
  </x:conditionalFormatting>
  <x:conditionalFormatting sqref="R2:R8">
    <x:cfRule type="containsText" dxfId="1" priority="2" operator="containsText" text="READY"/>
  </x:conditionalFormatting>
  <x:pageMargins left="0.7" right="0.7" top="0.75" bottom="0.75" header="0.3" footer="0.3"/>
  <x:tableParts count="1">
    <x:tablePart xmlns:r="http://schemas.openxmlformats.org/officeDocument/2006/relationships" r:id="R02c3187a1eb84c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1" hidden="0" customWidth="1"/>
    <x:col min="4" max="4" width="11" hidden="0" customWidth="1"/>
    <x:col min="5" max="5" width="45" hidden="0" customWidth="1"/>
    <x:col min="6" max="6" width="45" hidden="0" customWidth="1"/>
    <x:col min="7" max="7" width="21" hidden="0" customWidth="1"/>
    <x:col min="8" max="8" width="28" hidden="0" customWidth="1"/>
    <x:col min="9" max="9" width="28" hidden="0" customWidth="1"/>
    <x:col min="10" max="10" width="45" hidden="0" customWidth="1"/>
    <x:col min="11" max="11" width="45" hidden="0" customWidth="1"/>
    <x:col min="12" max="12" width="45" hidden="0" customWidth="1"/>
    <x:col min="13" max="13" width="45" hidden="0" customWidth="1"/>
  </x:cols>
  <x:sheetData>
    <x:row r="1" ht="38" customHeight="1">
      <x:c r="A1" s="19" t="str">
        <x:v>研究病例ID</x:v>
      </x:c>
      <x:c r="B1" s="19" t="str">
        <x:v>性别</x:v>
      </x:c>
      <x:c r="C1" s="19" t="str">
        <x:v>年龄</x:v>
      </x:c>
      <x:c r="D1" s="19" t="str">
        <x:v>病程</x:v>
      </x:c>
      <x:c r="E1" s="19" t="str">
        <x:v>主要症状</x:v>
      </x:c>
      <x:c r="F1" s="19" t="str">
        <x:v>家族史</x:v>
      </x:c>
      <x:c r="G1" s="19" t="str">
        <x:v>ISTH-BAT</x:v>
      </x:c>
      <x:c r="H1" s="19" t="str">
        <x:v>高浓度瑞斯托霉素血小板聚集</x:v>
      </x:c>
      <x:c r="I1" s="19" t="str">
        <x:v>低浓度瑞斯托霉素血小板聚集</x:v>
      </x:c>
      <x:c r="J1" s="19" t="str">
        <x:v>既往治疗</x:v>
      </x:c>
      <x:c r="K1" s="19" t="str">
        <x:v>父母表型</x:v>
      </x:c>
      <x:c r="L1" s="19" t="str">
        <x:v>共病</x:v>
      </x:c>
      <x:c r="M1" s="19" t="str">
        <x:v>解释限制</x:v>
      </x:c>
    </x:row>
    <x:row r="2">
      <x:c r="A2" s="20" t="str">
        <x:v>CASE_T2B_001</x:v>
      </x:c>
      <x:c r="B2" s="20" t="str">
        <x:v>男</x:v>
      </x:c>
      <x:c r="C2" s="20" t="str">
        <x:v>NA</x:v>
      </x:c>
      <x:c r="D2" s="20" t="str">
        <x:v>NA</x:v>
      </x:c>
      <x:c r="E2" s="22" t="str">
        <x:v>1月龄皮肤出血点，plt23可上升至40-50，当地丙球激素无效，过程中CMV(+)，抗CMV过程中Plt可至80</x:v>
      </x:c>
      <x:c r="F2" s="22" t="str">
        <x:v>无</x:v>
      </x:c>
      <x:c r="G2" s="20" t="n">
        <x:v>2</x:v>
      </x:c>
      <x:c r="H2" s="20" t="n">
        <x:v>54.3</x:v>
      </x:c>
      <x:c r="I2" s="20" t="n">
        <x:v>0.569</x:v>
      </x:c>
      <x:c r="J2" s="22" t="str">
        <x:v>按需治疗</x:v>
      </x:c>
      <x:c r="K2" s="22" t="str">
        <x:v>正常无表型</x:v>
      </x:c>
      <x:c r="L2" s="22" t="str">
        <x:v>NA</x:v>
      </x:c>
      <x:c r="M2" s="22" t="str">
        <x:v>低血小板计数与低浓度RIPA是2B轴重要证据；结构模型只作机制支持。</x:v>
      </x:c>
    </x:row>
    <x:row r="3">
      <x:c r="A3" s="20" t="str">
        <x:v>CASE_T2B_002</x:v>
      </x:c>
      <x:c r="B3" s="20" t="str">
        <x:v>女</x:v>
      </x:c>
      <x:c r="C3" s="20" t="str">
        <x:v>NA</x:v>
      </x:c>
      <x:c r="D3" s="20" t="str">
        <x:v>NA</x:v>
      </x:c>
      <x:c r="E3" s="22" t="str">
        <x:v>生后发现血小板减少plt 30-90，鼻衄，全身散在出血点，人源性vWF/FVIII治疗</x:v>
      </x:c>
      <x:c r="F3" s="22" t="str">
        <x:v>阴性</x:v>
      </x:c>
      <x:c r="G3" s="20" t="n">
        <x:v>4</x:v>
      </x:c>
      <x:c r="H3" s="20" t="n">
        <x:v>19.9</x:v>
      </x:c>
      <x:c r="I3" s="20" t="str">
        <x:v>NA</x:v>
      </x:c>
      <x:c r="J3" s="22" t="str">
        <x:v>按需治疗</x:v>
      </x:c>
      <x:c r="K3" s="22" t="str">
        <x:v>正常无表型</x:v>
      </x:c>
      <x:c r="L3" s="22" t="str">
        <x:v>NA</x:v>
      </x:c>
      <x:c r="M3" s="22" t="str">
        <x:v>低血小板计数与低浓度RIPA是2B轴重要证据；结构模型只作机制支持。</x:v>
      </x:c>
    </x:row>
    <x:row r="4">
      <x:c r="A4" s="20" t="str">
        <x:v>CASE_T2B_003</x:v>
      </x:c>
      <x:c r="B4" s="20" t="str">
        <x:v>男</x:v>
      </x:c>
      <x:c r="C4" s="20" t="str">
        <x:v>NA</x:v>
      </x:c>
      <x:c r="D4" s="20" t="str">
        <x:v>NA</x:v>
      </x:c>
      <x:c r="E4" s="22" t="str">
        <x:v>血小板减少、鼻出血、自发性颅内出血</x:v>
      </x:c>
      <x:c r="F4" s="22" t="str">
        <x:v>阴性</x:v>
      </x:c>
      <x:c r="G4" s="20" t="n">
        <x:v>6</x:v>
      </x:c>
      <x:c r="H4" s="20" t="n">
        <x:v>63.9</x:v>
      </x:c>
      <x:c r="I4" s="20" t="n">
        <x:v>46.5</x:v>
      </x:c>
      <x:c r="J4" s="22" t="str">
        <x:v>血管性血友病替代治疗</x:v>
      </x:c>
      <x:c r="K4" s="22" t="str">
        <x:v>母亲2013年孕期体检发现血小板减少，诊断免疫性血小板减少症，曾给予糖皮质激素、人免疫球蛋白、环孢素、曲安西龙等治疗，效果不理想，自诉波动于20-50×109/l,否认明显出血史。父亲及哥哥体健。</x:v>
      </x:c>
      <x:c r="L4" s="22" t="str">
        <x:v>NA</x:v>
      </x:c>
      <x:c r="M4" s="22" t="str">
        <x:v>低血小板计数与低浓度RIPA是2B轴重要证据；结构模型只作机制支持。</x:v>
      </x:c>
    </x:row>
    <x:row r="5">
      <x:c r="A5" s="20" t="str">
        <x:v>CASE_T2B_004</x:v>
      </x:c>
      <x:c r="B5" s="20" t="str">
        <x:v>女</x:v>
      </x:c>
      <x:c r="C5" s="20" t="str">
        <x:v>NA</x:v>
      </x:c>
      <x:c r="D5" s="20" t="str">
        <x:v>NA</x:v>
      </x:c>
      <x:c r="E5" s="22" t="str">
        <x:v>NA</x:v>
      </x:c>
      <x:c r="F5" s="22" t="str">
        <x:v>阴性</x:v>
      </x:c>
      <x:c r="G5" s="20" t="n">
        <x:v>0</x:v>
      </x:c>
      <x:c r="H5" s="20" t="n">
        <x:v>84</x:v>
      </x:c>
      <x:c r="I5" s="20" t="str">
        <x:v>NA</x:v>
      </x:c>
      <x:c r="J5" s="22" t="str">
        <x:v>胺甲苯酸</x:v>
      </x:c>
      <x:c r="K5" s="22" t="str">
        <x:v>正常无表型</x:v>
      </x:c>
      <x:c r="L5" s="22" t="str">
        <x:v>NA</x:v>
      </x:c>
      <x:c r="M5" s="22" t="str">
        <x:v>低血小板计数与低浓度RIPA是2B轴重要证据；结构模型只作机制支持。</x:v>
      </x:c>
    </x:row>
    <x:row r="6">
      <x:c r="A6" s="20" t="str">
        <x:v>CASE_T2B_005</x:v>
      </x:c>
      <x:c r="B6" s="20" t="str">
        <x:v>女</x:v>
      </x:c>
      <x:c r="C6" s="20" t="str">
        <x:v>NA</x:v>
      </x:c>
      <x:c r="D6" s="20" t="str">
        <x:v>NA</x:v>
      </x:c>
      <x:c r="E6" s="22" t="str">
        <x:v>生后6月发现血小板减少，波动于5-77，丙球、激素、TPO、输血小板无效或部分有效，曾应用人血FVIII无效。现病史：入院前2年余（即生后6月）患儿无明显诱因出现皮肤出血点，躯干及颜面为主，伴便血1次，无血尿，无腹痛、关节痛、瘀斑，于当地医院住院治疗（2021年7月），完善血常规提示血小板13*109/L，余两系正常，骨穿提示巨核细胞202个，诊断“免疫性血小板减少症”，予丙球及大剂量地米治疗后，查血小板升至45*109/L，皮肤出血点较前好转，未完全消失后出院。出院后监测血小板水平波动于16-39*109/L，全外基因（止血与血栓性疾病panel，2021年9月）提示VWF基因突变（c.4382C＞A，自发突变；c.7345G＞A，母亲），当地医院诊断为“血管性血友病”，予冷沉淀及丙球输注，皮肤出血点消失。后监测血小板水平为20-77*109/L。入院前1年患儿无明显诱因出现鼻衄，按压半小时后可止血，鼻衄3月内发作3次，可按压止血，未诊治。入院前1月，患儿出现发热伴咳嗽，伴鼻衄，完善血常规提示血小板降至7*109/L，当地诊断为肺炎，予头孢及酚磺乙胺止血。入院前8天，患儿就诊于我院门诊，完善血管性血友病因子活性 12.8%，血管性血友病因子抗原 57.6%；血小板聚集率明显降低，血常规提示血小板 35×10^9/L。</x:v>
      </x:c>
      <x:c r="F6" s="22" t="str">
        <x:v>阴性</x:v>
      </x:c>
      <x:c r="G6" s="20" t="n">
        <x:v>5</x:v>
      </x:c>
      <x:c r="H6" s="20" t="n">
        <x:v>40.8</x:v>
      </x:c>
      <x:c r="I6" s="20" t="str">
        <x:v>NA</x:v>
      </x:c>
      <x:c r="J6" s="22" t="str">
        <x:v>rFVIIa止血</x:v>
      </x:c>
      <x:c r="K6" s="22" t="str">
        <x:v>正常无表型</x:v>
      </x:c>
      <x:c r="L6" s="22" t="str">
        <x:v>NA</x:v>
      </x:c>
      <x:c r="M6" s="22" t="str">
        <x:v>低血小板计数与低浓度RIPA是2B轴重要证据；结构模型只作机制支持。</x:v>
      </x:c>
    </x:row>
    <x:row r="7">
      <x:c r="A7" s="21" t="str">
        <x:v>CASE_T2B_006</x:v>
      </x:c>
      <x:c r="B7" s="21" t="str">
        <x:v>男</x:v>
      </x:c>
      <x:c r="C7" s="21" t="str">
        <x:v>NA</x:v>
      </x:c>
      <x:c r="D7" s="21" t="str">
        <x:v>NA</x:v>
      </x:c>
      <x:c r="E7" s="23" t="str">
        <x:v>视神经肿瘤？治病基因提示为2B型血管性血友病</x:v>
      </x:c>
      <x:c r="F7" s="23" t="str">
        <x:v>患儿母亲有相关出血史</x:v>
      </x:c>
      <x:c r="G7" s="21" t="n">
        <x:v>0</x:v>
      </x:c>
      <x:c r="H7" s="21" t="n">
        <x:v>87.6</x:v>
      </x:c>
      <x:c r="I7" s="21" t="str">
        <x:v>NA</x:v>
      </x:c>
      <x:c r="J7" s="23" t="str">
        <x:v>暂无需治疗</x:v>
      </x:c>
      <x:c r="K7" s="23" t="str">
        <x:v>正常无表型</x:v>
      </x:c>
      <x:c r="L7" s="23" t="str">
        <x:v>NA</x:v>
      </x:c>
      <x:c r="M7" s="23" t="str">
        <x:v>低血小板计数与低浓度RIPA是2B轴重要证据；结构模型只作机制支持。</x:v>
      </x:c>
    </x:row>
  </x:sheetData>
  <x:pageMargins left="0.7" right="0.7" top="0.75" bottom="0.75" header="0.3" footer="0.3"/>
  <x:tableParts count="1">
    <x:tablePart xmlns:r="http://schemas.openxmlformats.org/officeDocument/2006/relationships" r:id="Re68e3d1278d748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3" hidden="0" customWidth="1"/>
    <x:col min="3" max="3" width="11" hidden="0" customWidth="1"/>
    <x:col min="4" max="4" width="17" hidden="0" customWidth="1"/>
    <x:col min="5" max="5" width="17" hidden="0" customWidth="1"/>
    <x:col min="6" max="6" width="28" hidden="0" customWidth="1"/>
    <x:col min="7" max="7" width="28" hidden="0" customWidth="1"/>
    <x:col min="8" max="8" width="19" hidden="0" customWidth="1"/>
    <x:col min="9" max="9" width="19" hidden="0" customWidth="1"/>
    <x:col min="10" max="10" width="45" hidden="0" customWidth="1"/>
    <x:col min="11" max="11" width="45" hidden="0" customWidth="1"/>
    <x:col min="12" max="12" width="45" hidden="0" customWidth="1"/>
  </x:cols>
  <x:sheetData>
    <x:row r="1" ht="38" customHeight="1">
      <x:c r="A1" s="19" t="str">
        <x:v>研究病例ID</x:v>
      </x:c>
      <x:c r="B1" s="19" t="str">
        <x:v>患者ID</x:v>
      </x:c>
      <x:c r="C1" s="19" t="str">
        <x:v>基因</x:v>
      </x:c>
      <x:c r="D1" s="19" t="str">
        <x:v>HGVS_c</x:v>
      </x:c>
      <x:c r="E1" s="19" t="str">
        <x:v>HGVS_p</x:v>
      </x:c>
      <x:c r="F1" s="19" t="str">
        <x:v>AlphaGenome状态</x:v>
      </x:c>
      <x:c r="G1" s="19" t="str">
        <x:v>AlphaGenome_GRCh38</x:v>
      </x:c>
      <x:c r="H1" s="19" t="str">
        <x:v>Boltz状态</x:v>
      </x:c>
      <x:c r="I1" s="19" t="str">
        <x:v>Boltz变异</x:v>
      </x:c>
      <x:c r="J1" s="19" t="str">
        <x:v>AlphaGenome原始输出</x:v>
      </x:c>
      <x:c r="K1" s="19" t="str">
        <x:v>AlphaGenome细胞选择</x:v>
      </x:c>
      <x:c r="L1" s="19" t="str">
        <x:v>备注</x:v>
      </x:c>
    </x:row>
    <x:row r="2">
      <x:c r="A2" s="20" t="str">
        <x:v>CASE_T2B_001</x:v>
      </x:c>
      <x:c r="B2" s="20" t="str">
        <x:v>CASE_T2B_001</x:v>
      </x:c>
      <x:c r="C2" s="20" t="str">
        <x:v>VWF</x:v>
      </x:c>
      <x:c r="D2" s="20" t="str">
        <x:v>c.3946G&gt;A</x:v>
      </x:c>
      <x:c r="E2" s="20" t="str">
        <x:v>p.Val1316Met</x:v>
      </x:c>
      <x:c r="F2" s="20" t="str">
        <x:v>READY</x:v>
      </x:c>
      <x:c r="G2" s="20" t="str">
        <x:v>chr12:6019472:C&gt;T</x:v>
      </x:c>
      <x:c r="H2" s="20" t="str">
        <x:v>READY</x:v>
      </x:c>
      <x:c r="I2" s="20" t="str">
        <x:v>V1316M</x:v>
      </x:c>
      <x:c r="J2" s="22" t="str">
        <x:v>ATAC|CAGE|DNASE|RNA_SEQ|CHIP_HISTONE|CHIP_TF|SPLICE_SITES|SPLICE_SITE_USAGE|SPLICE_JUNCTIONS|CONTACT_MAPS|PROCAP</x:v>
      </x:c>
      <x:c r="K2" s="22" t="str">
        <x:v>运行时读取output_metadata；优先内皮/血管相关轨道</x:v>
      </x:c>
      <x:c r="L2" s="22" t="str">
        <x:v>NA</x:v>
      </x:c>
    </x:row>
    <x:row r="3">
      <x:c r="A3" s="20" t="str">
        <x:v>CASE_T2B_002</x:v>
      </x:c>
      <x:c r="B3" s="20" t="str">
        <x:v>CASE_T2B_002</x:v>
      </x:c>
      <x:c r="C3" s="20" t="str">
        <x:v>VWF</x:v>
      </x:c>
      <x:c r="D3" s="20" t="str">
        <x:v>c.3946G&gt;A</x:v>
      </x:c>
      <x:c r="E3" s="20" t="str">
        <x:v>p.V1316M</x:v>
      </x:c>
      <x:c r="F3" s="20" t="str">
        <x:v>READY</x:v>
      </x:c>
      <x:c r="G3" s="20" t="str">
        <x:v>chr12:6019472:C&gt;T</x:v>
      </x:c>
      <x:c r="H3" s="20" t="str">
        <x:v>READY</x:v>
      </x:c>
      <x:c r="I3" s="20" t="str">
        <x:v>V1316M</x:v>
      </x:c>
      <x:c r="J3" s="22" t="str">
        <x:v>ATAC|CAGE|DNASE|RNA_SEQ|CHIP_HISTONE|CHIP_TF|SPLICE_SITES|SPLICE_SITE_USAGE|SPLICE_JUNCTIONS|CONTACT_MAPS|PROCAP</x:v>
      </x:c>
      <x:c r="K3" s="22" t="str">
        <x:v>运行时读取output_metadata；优先内皮/血管相关轨道</x:v>
      </x:c>
      <x:c r="L3" s="22" t="str">
        <x:v>NA</x:v>
      </x:c>
    </x:row>
    <x:row r="4">
      <x:c r="A4" s="20" t="str">
        <x:v>CASE_T2B_003</x:v>
      </x:c>
      <x:c r="B4" s="20" t="str">
        <x:v>CASE_T2B_003</x:v>
      </x:c>
      <x:c r="C4" s="20" t="str">
        <x:v>VWF</x:v>
      </x:c>
      <x:c r="D4" s="20" t="str">
        <x:v>c.3929C&gt;T</x:v>
      </x:c>
      <x:c r="E4" s="20" t="str">
        <x:v>p.S1310F</x:v>
      </x:c>
      <x:c r="F4" s="20" t="str">
        <x:v>READY</x:v>
      </x:c>
      <x:c r="G4" s="20" t="str">
        <x:v>chr12:6019489:G&gt;A</x:v>
      </x:c>
      <x:c r="H4" s="20" t="str">
        <x:v>READY</x:v>
      </x:c>
      <x:c r="I4" s="20" t="str">
        <x:v>S1310F</x:v>
      </x:c>
      <x:c r="J4" s="22" t="str">
        <x:v>ATAC|CAGE|DNASE|RNA_SEQ|CHIP_HISTONE|CHIP_TF|SPLICE_SITES|SPLICE_SITE_USAGE|SPLICE_JUNCTIONS|CONTACT_MAPS|PROCAP</x:v>
      </x:c>
      <x:c r="K4" s="22" t="str">
        <x:v>运行时读取output_metadata；优先内皮/血管相关轨道</x:v>
      </x:c>
      <x:c r="L4" s="22" t="str">
        <x:v>NA</x:v>
      </x:c>
    </x:row>
    <x:row r="5">
      <x:c r="A5" s="20" t="str">
        <x:v>CASE_T2B_004</x:v>
      </x:c>
      <x:c r="B5" s="20" t="str">
        <x:v>CASE_T2B_004</x:v>
      </x:c>
      <x:c r="C5" s="20" t="str">
        <x:v>VWF</x:v>
      </x:c>
      <x:c r="D5" s="20" t="str">
        <x:v>c.3922C&gt;T</x:v>
      </x:c>
      <x:c r="E5" s="20" t="str">
        <x:v>p.R1308C</x:v>
      </x:c>
      <x:c r="F5" s="20" t="str">
        <x:v>READY</x:v>
      </x:c>
      <x:c r="G5" s="20" t="str">
        <x:v>chr12:6019496:G&gt;A</x:v>
      </x:c>
      <x:c r="H5" s="20" t="str">
        <x:v>READY</x:v>
      </x:c>
      <x:c r="I5" s="20" t="str">
        <x:v>R1308C</x:v>
      </x:c>
      <x:c r="J5" s="22" t="str">
        <x:v>ATAC|CAGE|DNASE|RNA_SEQ|CHIP_HISTONE|CHIP_TF|SPLICE_SITES|SPLICE_SITE_USAGE|SPLICE_JUNCTIONS|CONTACT_MAPS|PROCAP</x:v>
      </x:c>
      <x:c r="K5" s="22" t="str">
        <x:v>运行时读取output_metadata；优先内皮/血管相关轨道</x:v>
      </x:c>
      <x:c r="L5" s="22" t="str">
        <x:v>NA</x:v>
      </x:c>
    </x:row>
    <x:row r="6">
      <x:c r="A6" s="20" t="str">
        <x:v>CASE_T2B_005_VARIANT_1</x:v>
      </x:c>
      <x:c r="B6" s="20" t="str">
        <x:v>CASE_T2B_005</x:v>
      </x:c>
      <x:c r="C6" s="20" t="str">
        <x:v>VWF</x:v>
      </x:c>
      <x:c r="D6" s="20" t="str">
        <x:v>c.4382C&gt;A</x:v>
      </x:c>
      <x:c r="E6" s="20" t="str">
        <x:v>p.A1461D</x:v>
      </x:c>
      <x:c r="F6" s="20" t="str">
        <x:v>READY</x:v>
      </x:c>
      <x:c r="G6" s="20" t="str">
        <x:v>chr12:6019036:G&gt;T</x:v>
      </x:c>
      <x:c r="H6" s="20" t="str">
        <x:v>READY</x:v>
      </x:c>
      <x:c r="I6" s="20" t="str">
        <x:v>A1461D</x:v>
      </x:c>
      <x:c r="J6" s="22" t="str">
        <x:v>ATAC|CAGE|DNASE|RNA_SEQ|CHIP_HISTONE|CHIP_TF|SPLICE_SITES|SPLICE_SITE_USAGE|SPLICE_JUNCTIONS|CONTACT_MAPS|PROCAP</x:v>
      </x:c>
      <x:c r="K6" s="22" t="str">
        <x:v>运行时读取output_metadata；优先内皮/血管相关轨道</x:v>
      </x:c>
      <x:c r="L6" s="22" t="str">
        <x:v>NA</x:v>
      </x:c>
    </x:row>
    <x:row r="7">
      <x:c r="A7" s="20" t="str">
        <x:v>CASE_T2B_005_VARIANT_2_BENIGN</x:v>
      </x:c>
      <x:c r="B7" s="20" t="str">
        <x:v>CASE_T2B_005</x:v>
      </x:c>
      <x:c r="C7" s="20" t="str">
        <x:v>VWF</x:v>
      </x:c>
      <x:c r="D7" s="20" t="str">
        <x:v>c.7345G&gt;A</x:v>
      </x:c>
      <x:c r="E7" s="20" t="str">
        <x:v>p.D2449N</x:v>
      </x:c>
      <x:c r="F7" s="20" t="str">
        <x:v>READY</x:v>
      </x:c>
      <x:c r="G7" s="20" t="str">
        <x:v>chr12:5976203:C&gt;T</x:v>
      </x:c>
      <x:c r="H7" s="20" t="str">
        <x:v>READY</x:v>
      </x:c>
      <x:c r="I7" s="20" t="str">
        <x:v>D2449N</x:v>
      </x:c>
      <x:c r="J7" s="22" t="str">
        <x:v>ATAC|CAGE|DNASE|RNA_SEQ|CHIP_HISTONE|CHIP_TF|SPLICE_SITES|SPLICE_SITE_USAGE|SPLICE_JUNCTIONS|CONTACT_MAPS|PROCAP</x:v>
      </x:c>
      <x:c r="K7" s="22" t="str">
        <x:v>运行时读取output_metadata；优先内皮/血管相关轨道</x:v>
      </x:c>
      <x:c r="L7" s="22" t="str">
        <x:v>保留为同一患者第二变异；不推断相位</x:v>
      </x:c>
    </x:row>
    <x:row r="8">
      <x:c r="A8" s="21" t="str">
        <x:v>CASE_T2B_006</x:v>
      </x:c>
      <x:c r="B8" s="21" t="str">
        <x:v>CASE_T2B_006</x:v>
      </x:c>
      <x:c r="C8" s="21" t="str">
        <x:v>VWF</x:v>
      </x:c>
      <x:c r="D8" s="21" t="str">
        <x:v>c.4021C&gt;T</x:v>
      </x:c>
      <x:c r="E8" s="21" t="str">
        <x:v>p.Arg1341Trp</x:v>
      </x:c>
      <x:c r="F8" s="21" t="str">
        <x:v>READY</x:v>
      </x:c>
      <x:c r="G8" s="21" t="str">
        <x:v>chr12:6019397:G&gt;A</x:v>
      </x:c>
      <x:c r="H8" s="21" t="str">
        <x:v>READY</x:v>
      </x:c>
      <x:c r="I8" s="21" t="str">
        <x:v>R1341W</x:v>
      </x:c>
      <x:c r="J8" s="23" t="str">
        <x:v>ATAC|CAGE|DNASE|RNA_SEQ|CHIP_HISTONE|CHIP_TF|SPLICE_SITES|SPLICE_SITE_USAGE|SPLICE_JUNCTIONS|CONTACT_MAPS|PROCAP</x:v>
      </x:c>
      <x:c r="K8" s="23" t="str">
        <x:v>运行时读取output_metadata；优先内皮/血管相关轨道</x:v>
      </x:c>
      <x:c r="L8" s="23" t="str">
        <x:v>NA</x:v>
      </x:c>
    </x:row>
  </x:sheetData>
  <x:pageMargins left="0.7" right="0.7" top="0.75" bottom="0.75" header="0.3" footer="0.3"/>
  <x:tableParts count="1">
    <x:tablePart xmlns:r="http://schemas.openxmlformats.org/officeDocument/2006/relationships" r:id="Rbf3c7340db4747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9" hidden="0" customWidth="1"/>
    <x:col min="4" max="4" width="28" hidden="0" customWidth="1"/>
    <x:col min="5" max="5" width="19" hidden="0" customWidth="1"/>
    <x:col min="6" max="6" width="13" hidden="0" customWidth="1"/>
    <x:col min="7" max="7" width="45" hidden="0" customWidth="1"/>
  </x:cols>
  <x:sheetData>
    <x:row r="1" ht="38" customHeight="1">
      <x:c r="A1" s="19" t="str">
        <x:v>研究病例ID</x:v>
      </x:c>
      <x:c r="B1" s="19" t="str">
        <x:v>阶段</x:v>
      </x:c>
      <x:c r="C1" s="19" t="str">
        <x:v>Agent状态</x:v>
      </x:c>
      <x:c r="D1" s="19" t="str">
        <x:v>AlphaGenome证据</x:v>
      </x:c>
      <x:c r="E1" s="19" t="str">
        <x:v>Boltz证据</x:v>
      </x:c>
      <x:c r="F1" s="19" t="str">
        <x:v>MD证据</x:v>
      </x:c>
      <x:c r="G1" s="19" t="str">
        <x:v>说明</x:v>
      </x:c>
    </x:row>
    <x:row r="2">
      <x:c r="A2" s="20" t="str">
        <x:v>CASE_T2B_001</x:v>
      </x:c>
      <x:c r="B2" s="20" t="str">
        <x:v>PRE_SERVER</x:v>
      </x:c>
      <x:c r="C2" s="20" t="str">
        <x:v>等待计算结果回灌</x:v>
      </x:c>
      <x:c r="D2" s="20" t="str">
        <x:v>PENDING</x:v>
      </x:c>
      <x:c r="E2" s="20" t="str">
        <x:v>PENDING</x:v>
      </x:c>
      <x:c r="F2" s="20" t="str">
        <x:v>PENDING</x:v>
      </x:c>
      <x:c r="G2" s="22" t="str">
        <x:v>服务器结果经完整性校验后由 ingest_and_test_agent.sh 写入 Agent 流程。</x:v>
      </x:c>
    </x:row>
    <x:row r="3">
      <x:c r="A3" s="20" t="str">
        <x:v>CASE_T2B_002</x:v>
      </x:c>
      <x:c r="B3" s="20" t="str">
        <x:v>PRE_SERVER</x:v>
      </x:c>
      <x:c r="C3" s="20" t="str">
        <x:v>等待计算结果回灌</x:v>
      </x:c>
      <x:c r="D3" s="20" t="str">
        <x:v>PENDING</x:v>
      </x:c>
      <x:c r="E3" s="20" t="str">
        <x:v>PENDING</x:v>
      </x:c>
      <x:c r="F3" s="20" t="str">
        <x:v>PENDING</x:v>
      </x:c>
      <x:c r="G3" s="22" t="str">
        <x:v>服务器结果经完整性校验后由 ingest_and_test_agent.sh 写入 Agent 流程。</x:v>
      </x:c>
    </x:row>
    <x:row r="4">
      <x:c r="A4" s="20" t="str">
        <x:v>CASE_T2B_003</x:v>
      </x:c>
      <x:c r="B4" s="20" t="str">
        <x:v>PRE_SERVER</x:v>
      </x:c>
      <x:c r="C4" s="20" t="str">
        <x:v>等待计算结果回灌</x:v>
      </x:c>
      <x:c r="D4" s="20" t="str">
        <x:v>PENDING</x:v>
      </x:c>
      <x:c r="E4" s="20" t="str">
        <x:v>PENDING</x:v>
      </x:c>
      <x:c r="F4" s="20" t="str">
        <x:v>PENDING</x:v>
      </x:c>
      <x:c r="G4" s="22" t="str">
        <x:v>服务器结果经完整性校验后由 ingest_and_test_agent.sh 写入 Agent 流程。</x:v>
      </x:c>
    </x:row>
    <x:row r="5">
      <x:c r="A5" s="20" t="str">
        <x:v>CASE_T2B_004</x:v>
      </x:c>
      <x:c r="B5" s="20" t="str">
        <x:v>PRE_SERVER</x:v>
      </x:c>
      <x:c r="C5" s="20" t="str">
        <x:v>等待计算结果回灌</x:v>
      </x:c>
      <x:c r="D5" s="20" t="str">
        <x:v>PENDING</x:v>
      </x:c>
      <x:c r="E5" s="20" t="str">
        <x:v>PENDING</x:v>
      </x:c>
      <x:c r="F5" s="20" t="str">
        <x:v>PENDING</x:v>
      </x:c>
      <x:c r="G5" s="22" t="str">
        <x:v>服务器结果经完整性校验后由 ingest_and_test_agent.sh 写入 Agent 流程。</x:v>
      </x:c>
    </x:row>
    <x:row r="6">
      <x:c r="A6" s="20" t="str">
        <x:v>CASE_T2B_005</x:v>
      </x:c>
      <x:c r="B6" s="20" t="str">
        <x:v>PRE_SERVER</x:v>
      </x:c>
      <x:c r="C6" s="20" t="str">
        <x:v>等待计算结果回灌</x:v>
      </x:c>
      <x:c r="D6" s="20" t="str">
        <x:v>PENDING</x:v>
      </x:c>
      <x:c r="E6" s="20" t="str">
        <x:v>PENDING</x:v>
      </x:c>
      <x:c r="F6" s="20" t="str">
        <x:v>PENDING</x:v>
      </x:c>
      <x:c r="G6" s="22" t="str">
        <x:v>服务器结果经完整性校验后由 ingest_and_test_agent.sh 写入 Agent 流程。</x:v>
      </x:c>
    </x:row>
    <x:row r="7">
      <x:c r="A7" s="21" t="str">
        <x:v>CASE_T2B_006</x:v>
      </x:c>
      <x:c r="B7" s="21" t="str">
        <x:v>PRE_SERVER</x:v>
      </x:c>
      <x:c r="C7" s="21" t="str">
        <x:v>等待计算结果回灌</x:v>
      </x:c>
      <x:c r="D7" s="21" t="str">
        <x:v>PENDING</x:v>
      </x:c>
      <x:c r="E7" s="21" t="str">
        <x:v>PENDING</x:v>
      </x:c>
      <x:c r="F7" s="21" t="str">
        <x:v>PENDING</x:v>
      </x:c>
      <x:c r="G7" s="23" t="str">
        <x:v>服务器结果经完整性校验后由 ingest_and_test_agent.sh 写入 Agent 流程。</x:v>
      </x:c>
    </x:row>
  </x:sheetData>
  <x:pageMargins left="0.7" right="0.7" top="0.75" bottom="0.75" header="0.3" footer="0.3"/>
  <x:tableParts count="1">
    <x:tablePart xmlns:r="http://schemas.openxmlformats.org/officeDocument/2006/relationships" r:id="R575a54b9d58940b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3" hidden="0" customWidth="1"/>
    <x:col min="4" max="4" width="11" hidden="0" customWidth="1"/>
    <x:col min="5" max="5" width="45" hidden="0" customWidth="1"/>
    <x:col min="6" max="6" width="45" hidden="0" customWidth="1"/>
  </x:cols>
  <x:sheetData>
    <x:row r="1" ht="38" customHeight="1">
      <x:c r="A1" s="19" t="str">
        <x:v>研究病例ID</x:v>
      </x:c>
      <x:c r="B1" s="19" t="str">
        <x:v>来源</x:v>
      </x:c>
      <x:c r="C1" s="19" t="str">
        <x:v>记录ID</x:v>
      </x:c>
      <x:c r="D1" s="19" t="str">
        <x:v>查询</x:v>
      </x:c>
      <x:c r="E1" s="19" t="str">
        <x:v>结论</x:v>
      </x:c>
      <x:c r="F1" s="19" t="str">
        <x:v>局限</x:v>
      </x:c>
    </x:row>
    <x:row r="2">
      <x:c r="A2" s="21" t="str"/>
      <x:c r="B2" s="21" t="str">
        <x:v>PENDING</x:v>
      </x:c>
      <x:c r="C2" s="21" t="str"/>
      <x:c r="D2" s="21" t="str"/>
      <x:c r="E2" s="23" t="str">
        <x:v>等待服务器回传；不可将缺失结果解释为阴性证据。</x:v>
      </x:c>
      <x:c r="F2" s="23" t="str">
        <x:v>研究用途，不构成临床诊断。</x:v>
      </x:c>
    </x:row>
  </x:sheetData>
  <x:pageMargins left="0.7" right="0.7" top="0.75" bottom="0.75" header="0.3" footer="0.3"/>
  <x:tableParts count="1">
    <x:tablePart xmlns:r="http://schemas.openxmlformats.org/officeDocument/2006/relationships" r:id="Rf1d8c23bee6a47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3" hidden="0" customWidth="1"/>
    <x:col min="3" max="3" width="11" hidden="0" customWidth="1"/>
    <x:col min="4" max="4" width="45" hidden="0" customWidth="1"/>
    <x:col min="5" max="5" width="11" hidden="0" customWidth="1"/>
    <x:col min="6" max="6" width="28" hidden="0" customWidth="1"/>
    <x:col min="7" max="7" width="45" hidden="0" customWidth="1"/>
    <x:col min="8" max="8" width="45" hidden="0" customWidth="1"/>
  </x:cols>
  <x:sheetData>
    <x:row r="1" ht="38" customHeight="1">
      <x:c r="A1" s="19" t="str">
        <x:v>研究病例ID</x:v>
      </x:c>
      <x:c r="B1" s="19" t="str">
        <x:v>患者ID</x:v>
      </x:c>
      <x:c r="C1" s="19" t="str">
        <x:v>源编号</x:v>
      </x:c>
      <x:c r="D1" s="19" t="str">
        <x:v>已删除直接标识</x:v>
      </x:c>
      <x:c r="E1" s="19" t="str">
        <x:v>源坐标</x:v>
      </x:c>
      <x:c r="F1" s="19" t="str">
        <x:v>HGVS归一化GRCh38</x:v>
      </x:c>
      <x:c r="G1" s="19" t="str">
        <x:v>坐标QC</x:v>
      </x:c>
      <x:c r="H1" s="19" t="str">
        <x:v>说明</x:v>
      </x:c>
    </x:row>
    <x:row r="2">
      <x:c r="A2" s="20" t="str">
        <x:v>CASE_T2B_001</x:v>
      </x:c>
      <x:c r="B2" s="20" t="str">
        <x:v>CASE_T2B_001</x:v>
      </x:c>
      <x:c r="C2" s="20" t="n">
        <x:v>1</x:v>
      </x:c>
      <x:c r="D2" s="22" t="str">
        <x:v>姓名|病案号|出生日期|就诊日期</x:v>
      </x:c>
      <x:c r="E2" s="20" t="str">
        <x:v>chr12:6128638</x:v>
      </x:c>
      <x:c r="F2" s="20" t="str">
        <x:v>chr12:6019472:C&gt;T</x:v>
      </x:c>
      <x:c r="G2" s="22" t="str">
        <x:v>SOURCE_TO_GRCH38_NORMALIZED</x:v>
      </x:c>
      <x:c r="H2" s="22" t="str">
        <x:v>请求使用HGVS归一化坐标</x:v>
      </x:c>
    </x:row>
    <x:row r="3">
      <x:c r="A3" s="20" t="str">
        <x:v>CASE_T2B_002</x:v>
      </x:c>
      <x:c r="B3" s="20" t="str">
        <x:v>CASE_T2B_002</x:v>
      </x:c>
      <x:c r="C3" s="20" t="n">
        <x:v>2</x:v>
      </x:c>
      <x:c r="D3" s="22" t="str">
        <x:v>姓名|病案号|出生日期|就诊日期</x:v>
      </x:c>
      <x:c r="E3" s="20" t="str">
        <x:v>chr12:6128638</x:v>
      </x:c>
      <x:c r="F3" s="20" t="str">
        <x:v>chr12:6019472:C&gt;T</x:v>
      </x:c>
      <x:c r="G3" s="22" t="str">
        <x:v>SOURCE_TO_GRCH38_NORMALIZED</x:v>
      </x:c>
      <x:c r="H3" s="22" t="str">
        <x:v>请求使用HGVS归一化坐标</x:v>
      </x:c>
    </x:row>
    <x:row r="4">
      <x:c r="A4" s="20" t="str">
        <x:v>CASE_T2B_003</x:v>
      </x:c>
      <x:c r="B4" s="20" t="str">
        <x:v>CASE_T2B_003</x:v>
      </x:c>
      <x:c r="C4" s="20" t="n">
        <x:v>3</x:v>
      </x:c>
      <x:c r="D4" s="22" t="str">
        <x:v>姓名|病案号|出生日期|就诊日期</x:v>
      </x:c>
      <x:c r="E4" s="20" t="str">
        <x:v>chr12:6128655</x:v>
      </x:c>
      <x:c r="F4" s="20" t="str">
        <x:v>chr12:6019489:G&gt;A</x:v>
      </x:c>
      <x:c r="G4" s="22" t="str">
        <x:v>SOURCE_TO_GRCH38_NORMALIZED</x:v>
      </x:c>
      <x:c r="H4" s="22" t="str">
        <x:v>请求使用HGVS归一化坐标</x:v>
      </x:c>
    </x:row>
    <x:row r="5">
      <x:c r="A5" s="20" t="str">
        <x:v>CASE_T2B_004</x:v>
      </x:c>
      <x:c r="B5" s="20" t="str">
        <x:v>CASE_T2B_004</x:v>
      </x:c>
      <x:c r="C5" s="20" t="n">
        <x:v>4</x:v>
      </x:c>
      <x:c r="D5" s="22" t="str">
        <x:v>姓名|病案号|出生日期|就诊日期</x:v>
      </x:c>
      <x:c r="E5" s="20" t="str">
        <x:v>chr12-6128662</x:v>
      </x:c>
      <x:c r="F5" s="20" t="str">
        <x:v>chr12:6019496:G&gt;A</x:v>
      </x:c>
      <x:c r="G5" s="22" t="str">
        <x:v>SOURCE_TO_GRCH38_NORMALIZED</x:v>
      </x:c>
      <x:c r="H5" s="22" t="str">
        <x:v>请求使用HGVS归一化坐标</x:v>
      </x:c>
    </x:row>
    <x:row r="6">
      <x:c r="A6" s="20" t="str">
        <x:v>CASE_T2B_005_VARIANT_1</x:v>
      </x:c>
      <x:c r="B6" s="20" t="str">
        <x:v>CASE_T2B_005</x:v>
      </x:c>
      <x:c r="C6" s="20" t="n">
        <x:v>5</x:v>
      </x:c>
      <x:c r="D6" s="22" t="str">
        <x:v>姓名|病案号|出生日期|就诊日期</x:v>
      </x:c>
      <x:c r="E6" s="20" t="str">
        <x:v>chr12:6128202</x:v>
      </x:c>
      <x:c r="F6" s="20" t="str">
        <x:v>chr12:6019036:G&gt;T</x:v>
      </x:c>
      <x:c r="G6" s="22" t="str">
        <x:v>SOURCE_TO_GRCH38_NORMALIZED</x:v>
      </x:c>
      <x:c r="H6" s="22" t="str">
        <x:v>请求使用HGVS归一化坐标</x:v>
      </x:c>
    </x:row>
    <x:row r="7">
      <x:c r="A7" s="20" t="str">
        <x:v>CASE_T2B_005_VARIANT_2_BENIGN</x:v>
      </x:c>
      <x:c r="B7" s="20" t="str">
        <x:v>CASE_T2B_005</x:v>
      </x:c>
      <x:c r="C7" s="20" t="n">
        <x:v>5</x:v>
      </x:c>
      <x:c r="D7" s="22" t="str">
        <x:v>姓名|病案号|出生日期|就诊日期</x:v>
      </x:c>
      <x:c r="E7" s="20" t="str">
        <x:v>chr12:6085369</x:v>
      </x:c>
      <x:c r="F7" s="20" t="str">
        <x:v>chr12:5976203:C&gt;T</x:v>
      </x:c>
      <x:c r="G7" s="22" t="str">
        <x:v>SOURCE_TO_GRCH38_NORMALIZED</x:v>
      </x:c>
      <x:c r="H7" s="22" t="str">
        <x:v>请求使用HGVS归一化坐标</x:v>
      </x:c>
    </x:row>
    <x:row r="8">
      <x:c r="A8" s="21" t="str">
        <x:v>CASE_T2B_006</x:v>
      </x:c>
      <x:c r="B8" s="21" t="str">
        <x:v>CASE_T2B_006</x:v>
      </x:c>
      <x:c r="C8" s="21" t="n">
        <x:v>6</x:v>
      </x:c>
      <x:c r="D8" s="23" t="str">
        <x:v>姓名|病案号|出生日期|就诊日期</x:v>
      </x:c>
      <x:c r="E8" s="21" t="str">
        <x:v>chr12:6019397</x:v>
      </x:c>
      <x:c r="F8" s="21" t="str">
        <x:v>chr12:6019397:G&gt;A</x:v>
      </x:c>
      <x:c r="G8" s="23" t="str">
        <x:v>SOURCE_ALREADY_GRCH38_MATCHED</x:v>
      </x:c>
      <x:c r="H8" s="23" t="str">
        <x:v>源坐标与GRCh38一致；c.4021c&gt;T已规范为c.4021C&gt;T</x:v>
      </x:c>
    </x:row>
  </x:sheetData>
  <x:pageMargins left="0.7" right="0.7" top="0.75" bottom="0.75" header="0.3" footer="0.3"/>
  <x:tableParts count="1">
    <x:tablePart xmlns:r="http://schemas.openxmlformats.org/officeDocument/2006/relationships" r:id="R07cad398fc9b4f8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45" hidden="0" customWidth="1"/>
    <x:col min="4" max="4" width="11" hidden="0" customWidth="1"/>
    <x:col min="5" max="5" width="45" hidden="0" customWidth="1"/>
    <x:col min="6" max="6" width="45" hidden="0" customWidth="1"/>
  </x:cols>
  <x:sheetData>
    <x:row r="1" ht="38" customHeight="1">
      <x:c r="A1" s="19" t="str">
        <x:v>顺序</x:v>
      </x:c>
      <x:c r="B1" s="19" t="str">
        <x:v>模块</x:v>
      </x:c>
      <x:c r="C1" s="19" t="str">
        <x:v>输入</x:v>
      </x:c>
      <x:c r="D1" s="19" t="str">
        <x:v>任务数</x:v>
      </x:c>
      <x:c r="E1" s="19" t="str">
        <x:v>命令</x:v>
      </x:c>
      <x:c r="F1" s="19" t="str">
        <x:v>验收</x:v>
      </x:c>
    </x:row>
    <x:row r="2">
      <x:c r="A2" s="20" t="n">
        <x:v>1</x:v>
      </x:c>
      <x:c r="B2" s="20" t="str">
        <x:v>AlphaGenome</x:v>
      </x:c>
      <x:c r="C2" s="22" t="str">
        <x:v>7变异记录 × 11原始输出</x:v>
      </x:c>
      <x:c r="D2" s="20" t="n">
        <x:v>7</x:v>
      </x:c>
      <x:c r="E2" s="22" t="str">
        <x:v>bash server_bundle/run_alphagenome.sh</x:v>
      </x:c>
      <x:c r="F2" s="22" t="str">
        <x:v>7/7成功；77个原始输出状态齐全</x:v>
      </x:c>
    </x:row>
    <x:row r="3">
      <x:c r="A3" s="20" t="n">
        <x:v>2</x:v>
      </x:c>
      <x:c r="B3" s="20" t="str">
        <x:v>Boltz-2</x:v>
      </x:c>
      <x:c r="C3" s="22" t="str">
        <x:v>6个唯一错义；按功能构建展开</x:v>
      </x:c>
      <x:c r="D3" s="20" t="n">
        <x:v>20</x:v>
      </x:c>
      <x:c r="E3" s="22" t="str">
        <x:v>GPUS=4 bash server_bundle/run_boltz.sh</x:v>
      </x:c>
      <x:c r="F3" s="22" t="str">
        <x:v>20/20；4个WT基线</x:v>
      </x:c>
    </x:row>
    <x:row r="4">
      <x:c r="A4" s="20" t="n">
        <x:v>3</x:v>
      </x:c>
      <x:c r="B4" s="20" t="str">
        <x:v>MD</x:v>
      </x:c>
      <x:c r="C4" s="22" t="str">
        <x:v>5个A1变异 + 匹配WT</x:v>
      </x:c>
      <x:c r="D4" s="20" t="n">
        <x:v>6</x:v>
      </x:c>
      <x:c r="E4" s="22" t="str">
        <x:v>FOLDX=/path/to/foldx GPU_IDS='0 1 2 3 4 5' bash server_bundle/run_md_a1_panel.sh</x:v>
      </x:c>
      <x:c r="F4" s="22" t="str">
        <x:v>6条轨迹完成QC，各50 ns</x:v>
      </x:c>
    </x:row>
    <x:row r="5">
      <x:c r="A5" s="21" t="n">
        <x:v>4</x:v>
      </x:c>
      <x:c r="B5" s="21" t="str">
        <x:v>Agent</x:v>
      </x:c>
      <x:c r="C5" s="23" t="str">
        <x:v>去重计算、按患者回填的证据</x:v>
      </x:c>
      <x:c r="D5" s="21" t="n">
        <x:v>6</x:v>
      </x:c>
      <x:c r="E5" s="23" t="str">
        <x:v>bash server_bundle/ingest_and_test_agent.sh</x:v>
      </x:c>
      <x:c r="F5" s="23" t="str">
        <x:v>6人均输出；患者5保留两条变异证据</x:v>
      </x:c>
    </x:row>
  </x:sheetData>
  <x:pageMargins left="0.7" right="0.7" top="0.75" bottom="0.75" header="0.3" footer="0.3"/>
  <x:tableParts count="1">
    <x:tablePart xmlns:r="http://schemas.openxmlformats.org/officeDocument/2006/relationships" r:id="R24eded12265f4f65"/>
  </x:tableParts>
</x:worksheet>
</file>